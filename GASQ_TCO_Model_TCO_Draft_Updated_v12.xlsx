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5.xml" ContentType="application/vnd.openxmlformats-officedocument.drawing+xml"/>
  <Override PartName="/xl/charts/chart1.xml" ContentType="application/vnd.openxmlformats-officedocument.drawingml.chart+xml"/>
  <Override PartName="/xl/tables/table5.xml" ContentType="application/vnd.openxmlformats-officedocument.spreadsheetml.table+xml"/>
  <Override PartName="/xl/drawings/drawing16.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rayling\Recovered data 09-28 19_12_15\Deep Scan result\Existing Partition(NTFS)\GASQ Launch Documents 2026\"/>
    </mc:Choice>
  </mc:AlternateContent>
  <xr:revisionPtr revIDLastSave="0" documentId="13_ncr:1_{93469583-4C3E-497F-9D6F-D30D65B11BF6}" xr6:coauthVersionLast="47" xr6:coauthVersionMax="47" xr10:uidLastSave="{00000000-0000-0000-0000-000000000000}"/>
  <bookViews>
    <workbookView xWindow="-108" yWindow="-108" windowWidth="23256" windowHeight="13896" firstSheet="15" activeTab="15" xr2:uid="{00000000-000D-0000-FFFF-FFFF00000000}"/>
  </bookViews>
  <sheets>
    <sheet name="Inputs" sheetId="1" r:id="rId1"/>
    <sheet name="Post_Positions" sheetId="2" r:id="rId2"/>
    <sheet name="Scope_of_Work" sheetId="3" state="hidden" r:id="rId3"/>
    <sheet name="Direct_Labor" sheetId="4" r:id="rId4"/>
    <sheet name="Fringe_Costs" sheetId="5" r:id="rId5"/>
    <sheet name="Vehicle" sheetId="6" r:id="rId6"/>
    <sheet name="Uniform_Equipment" sheetId="7" r:id="rId7"/>
    <sheet name="Operations" sheetId="8" r:id="rId8"/>
    <sheet name="Government_TCO" sheetId="9" r:id="rId9"/>
    <sheet name="Overhead_GA" sheetId="11" r:id="rId10"/>
    <sheet name="Vendor_Pricing" sheetId="10" r:id="rId11"/>
    <sheet name="Price_Realism" sheetId="12" r:id="rId12"/>
    <sheet name="Buyer_Vendor_Comparison" sheetId="13" r:id="rId13"/>
    <sheet name="Summary" sheetId="14" r:id="rId14"/>
    <sheet name="Contract_Summary" sheetId="15" state="hidden" r:id="rId15"/>
    <sheet name="Appraisal_Full_Scope_Report" sheetId="16" r:id="rId16"/>
    <sheet name="Training_Module" sheetId="17" state="hidden" r:id="rId17"/>
    <sheet name="Equipment_Uniform_Module" sheetId="18" state="hidden" r:id="rId18"/>
    <sheet name="Workforce_Maintenance_Module" sheetId="19" state="hidden" r:id="rId19"/>
    <sheet name="Government_IGCE_Model" sheetId="20" state="hidden" r:id="rId20"/>
    <sheet name="Workforce_to_Post" sheetId="21" state="hidden" r:id="rId21"/>
    <sheet name="Capital_Recovery_Dashboard" sheetId="22" r:id="rId22"/>
    <sheet name="Security_Cost_Rating_Report" sheetId="23" r:id="rId23"/>
    <sheet name="Capital_Recovery_Receipt" sheetId="24" r:id="rId24"/>
    <sheet name="Vendor_Price_Evaluation" sheetId="25" r:id="rId25"/>
    <sheet name="Government_IGCE_Comparison" sheetId="26" r:id="rId26"/>
    <sheet name="GASQ_Dashboard" sheetId="27" state="hidden" r:id="rId27"/>
    <sheet name="Advanced_Dashboard" sheetId="28" state="hidden" r:id="rId28"/>
  </sheets>
  <definedNames>
    <definedName name="_xlnm.Print_Area" localSheetId="15">Appraisal_Full_Scope_Report!$B$1:$J$69</definedName>
    <definedName name="_xlnm.Print_Area" localSheetId="3">Direct_Labor!$A$1:$E$8</definedName>
    <definedName name="_xlnm.Print_Area" localSheetId="4">Fringe_Costs!$A$1:$E$12</definedName>
    <definedName name="_xlnm.Print_Area" localSheetId="8">Government_TCO!$A$1:$E$20</definedName>
    <definedName name="_xlnm.Print_Area" localSheetId="0">Inputs!$A$1:$E$44</definedName>
    <definedName name="_xlnm.Print_Area" localSheetId="7">Operations!$A$1:$E$14</definedName>
    <definedName name="_xlnm.Print_Area" localSheetId="9">Overhead_GA!$A$1:$E$9</definedName>
    <definedName name="_xlnm.Print_Area" localSheetId="11">Price_Realism!$A$1:$F$18</definedName>
    <definedName name="_xlnm.Print_Area" localSheetId="2">Scope_of_Work!$A$1:$E$19</definedName>
    <definedName name="_xlnm.Print_Area" localSheetId="13">Summary!$A$1:$E$19</definedName>
    <definedName name="_xlnm.Print_Area" localSheetId="10">Vendor_Pricing!$A$1:$F$19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2" l="1"/>
  <c r="B12" i="12"/>
  <c r="B13" i="12"/>
  <c r="B14" i="12"/>
  <c r="G3" i="16"/>
  <c r="B10" i="21"/>
  <c r="B6" i="21"/>
  <c r="B7" i="21" s="1"/>
  <c r="C3" i="20"/>
  <c r="B3" i="20"/>
  <c r="B5" i="26" s="1"/>
  <c r="E6" i="19"/>
  <c r="E5" i="19"/>
  <c r="E4" i="19"/>
  <c r="E3" i="19"/>
  <c r="E2" i="19"/>
  <c r="E6" i="18"/>
  <c r="E5" i="18"/>
  <c r="E4" i="18"/>
  <c r="E3" i="18"/>
  <c r="E2" i="18"/>
  <c r="D8" i="17"/>
  <c r="D7" i="17"/>
  <c r="D6" i="17"/>
  <c r="D5" i="17"/>
  <c r="D4" i="17"/>
  <c r="D3" i="17"/>
  <c r="D2" i="17"/>
  <c r="J22" i="16"/>
  <c r="F22" i="16"/>
  <c r="J21" i="16"/>
  <c r="F21" i="16"/>
  <c r="J20" i="16"/>
  <c r="F20" i="16"/>
  <c r="J16" i="16"/>
  <c r="J15" i="16"/>
  <c r="J14" i="16"/>
  <c r="J13" i="16"/>
  <c r="J12" i="16"/>
  <c r="J11" i="16"/>
  <c r="J7" i="16"/>
  <c r="H7" i="16"/>
  <c r="F7" i="16"/>
  <c r="B15" i="12"/>
  <c r="A15" i="12"/>
  <c r="A14" i="12"/>
  <c r="A13" i="12"/>
  <c r="A12" i="12"/>
  <c r="A11" i="12"/>
  <c r="B11" i="10"/>
  <c r="D15" i="10" s="1"/>
  <c r="B35" i="9"/>
  <c r="B34" i="9"/>
  <c r="B33" i="9"/>
  <c r="B32" i="9"/>
  <c r="B31" i="9"/>
  <c r="B30" i="9"/>
  <c r="B29" i="9"/>
  <c r="B27" i="9"/>
  <c r="B26" i="9"/>
  <c r="B25" i="9"/>
  <c r="B24" i="9"/>
  <c r="B19" i="9"/>
  <c r="B18" i="9"/>
  <c r="B6" i="9"/>
  <c r="B28" i="6"/>
  <c r="C28" i="6" s="1"/>
  <c r="B27" i="6"/>
  <c r="C27" i="6" s="1"/>
  <c r="B26" i="6"/>
  <c r="C26" i="6" s="1"/>
  <c r="B25" i="6"/>
  <c r="C25" i="6" s="1"/>
  <c r="B20" i="6"/>
  <c r="C20" i="6" s="1"/>
  <c r="B8" i="5"/>
  <c r="C8" i="5" s="1"/>
  <c r="B7" i="4"/>
  <c r="C7" i="4" s="1"/>
  <c r="J6" i="15" s="1"/>
  <c r="B6" i="4"/>
  <c r="C6" i="4" s="1"/>
  <c r="B5" i="4"/>
  <c r="C5" i="4" s="1"/>
  <c r="C4" i="4"/>
  <c r="B4" i="4"/>
  <c r="B7" i="3"/>
  <c r="B6" i="3"/>
  <c r="F14" i="16" s="1"/>
  <c r="B5" i="3"/>
  <c r="B7" i="6" s="1"/>
  <c r="B4" i="3"/>
  <c r="X35" i="2"/>
  <c r="B12" i="3" s="1"/>
  <c r="X34" i="2"/>
  <c r="B11" i="3" s="1"/>
  <c r="X33" i="2"/>
  <c r="B10" i="3" s="1"/>
  <c r="E22" i="2"/>
  <c r="E3" i="17" s="1"/>
  <c r="S21" i="2"/>
  <c r="Q21" i="2"/>
  <c r="J21" i="2"/>
  <c r="P21" i="2" s="1"/>
  <c r="F21" i="2"/>
  <c r="O21" i="2" s="1"/>
  <c r="S20" i="2"/>
  <c r="Q20" i="2"/>
  <c r="J20" i="2"/>
  <c r="P20" i="2" s="1"/>
  <c r="F20" i="2"/>
  <c r="I20" i="2" s="1"/>
  <c r="S19" i="2"/>
  <c r="Q19" i="2"/>
  <c r="J19" i="2"/>
  <c r="P19" i="2" s="1"/>
  <c r="F19" i="2"/>
  <c r="O19" i="2" s="1"/>
  <c r="S18" i="2"/>
  <c r="Q18" i="2"/>
  <c r="J18" i="2"/>
  <c r="P18" i="2" s="1"/>
  <c r="F18" i="2"/>
  <c r="O18" i="2" s="1"/>
  <c r="S17" i="2"/>
  <c r="Q17" i="2"/>
  <c r="J17" i="2"/>
  <c r="P17" i="2" s="1"/>
  <c r="F17" i="2"/>
  <c r="O17" i="2" s="1"/>
  <c r="S16" i="2"/>
  <c r="Q16" i="2"/>
  <c r="J16" i="2"/>
  <c r="P16" i="2" s="1"/>
  <c r="F16" i="2"/>
  <c r="I16" i="2" s="1"/>
  <c r="S15" i="2"/>
  <c r="Q15" i="2"/>
  <c r="J15" i="2"/>
  <c r="P15" i="2" s="1"/>
  <c r="F15" i="2"/>
  <c r="O15" i="2" s="1"/>
  <c r="S14" i="2"/>
  <c r="Q14" i="2"/>
  <c r="F14" i="2"/>
  <c r="O14" i="2" s="1"/>
  <c r="S13" i="2"/>
  <c r="Q13" i="2"/>
  <c r="F13" i="2"/>
  <c r="I13" i="2" s="1"/>
  <c r="J13" i="2" s="1"/>
  <c r="P13" i="2" s="1"/>
  <c r="S12" i="2"/>
  <c r="Q12" i="2"/>
  <c r="F12" i="2"/>
  <c r="O12" i="2" s="1"/>
  <c r="S11" i="2"/>
  <c r="Q11" i="2"/>
  <c r="F11" i="2"/>
  <c r="I11" i="2" s="1"/>
  <c r="J11" i="2" s="1"/>
  <c r="P11" i="2" s="1"/>
  <c r="S10" i="2"/>
  <c r="Q10" i="2"/>
  <c r="F10" i="2"/>
  <c r="O10" i="2" s="1"/>
  <c r="S9" i="2"/>
  <c r="Q9" i="2"/>
  <c r="F9" i="2"/>
  <c r="O9" i="2" s="1"/>
  <c r="S8" i="2"/>
  <c r="Q8" i="2"/>
  <c r="F8" i="2"/>
  <c r="S7" i="2"/>
  <c r="Q7" i="2"/>
  <c r="F7" i="2"/>
  <c r="O7" i="2" s="1"/>
  <c r="U5" i="2"/>
  <c r="X36" i="2" s="1"/>
  <c r="B13" i="3" s="1"/>
  <c r="F11" i="16" s="1"/>
  <c r="B51" i="1"/>
  <c r="B50" i="1"/>
  <c r="B49" i="1"/>
  <c r="B45" i="1"/>
  <c r="D19" i="10" l="1"/>
  <c r="D17" i="10"/>
  <c r="D18" i="10"/>
  <c r="D16" i="10"/>
  <c r="B11" i="21"/>
  <c r="E7" i="19"/>
  <c r="I9" i="2"/>
  <c r="J9" i="2" s="1"/>
  <c r="P9" i="2" s="1"/>
  <c r="R9" i="2" s="1"/>
  <c r="E7" i="18"/>
  <c r="C10" i="24" s="1"/>
  <c r="U8" i="2"/>
  <c r="U18" i="2" s="1"/>
  <c r="U13" i="2"/>
  <c r="X37" i="2" s="1"/>
  <c r="X39" i="2" s="1"/>
  <c r="B16" i="3" s="1"/>
  <c r="R18" i="2"/>
  <c r="U21" i="2"/>
  <c r="B4" i="20"/>
  <c r="B7" i="26" s="1"/>
  <c r="B17" i="21"/>
  <c r="I7" i="2"/>
  <c r="J7" i="2" s="1"/>
  <c r="P7" i="2" s="1"/>
  <c r="R7" i="2" s="1"/>
  <c r="I19" i="2"/>
  <c r="Q22" i="2"/>
  <c r="I12" i="2"/>
  <c r="J12" i="2" s="1"/>
  <c r="P12" i="2" s="1"/>
  <c r="R12" i="2" s="1"/>
  <c r="O16" i="2"/>
  <c r="R16" i="2" s="1"/>
  <c r="U22" i="2"/>
  <c r="U14" i="2"/>
  <c r="B4" i="9" s="1"/>
  <c r="B5" i="9" s="1"/>
  <c r="I17" i="2"/>
  <c r="O20" i="2"/>
  <c r="R20" i="2" s="1"/>
  <c r="B8" i="6"/>
  <c r="B21" i="6" s="1"/>
  <c r="C21" i="6" s="1"/>
  <c r="E2" i="17"/>
  <c r="J2" i="17" s="1"/>
  <c r="U10" i="2"/>
  <c r="R21" i="2"/>
  <c r="R15" i="2"/>
  <c r="I21" i="2"/>
  <c r="R19" i="2"/>
  <c r="J5" i="15"/>
  <c r="C8" i="4"/>
  <c r="H11" i="16"/>
  <c r="R17" i="2"/>
  <c r="J3" i="17"/>
  <c r="F15" i="16"/>
  <c r="H15" i="16" s="1"/>
  <c r="H14" i="16"/>
  <c r="O11" i="2"/>
  <c r="R11" i="2" s="1"/>
  <c r="O13" i="2"/>
  <c r="R13" i="2" s="1"/>
  <c r="I15" i="2"/>
  <c r="E4" i="17"/>
  <c r="J4" i="17" s="1"/>
  <c r="E12" i="10"/>
  <c r="B4" i="21"/>
  <c r="B5" i="21" s="1"/>
  <c r="I8" i="2"/>
  <c r="J8" i="2" s="1"/>
  <c r="P8" i="2" s="1"/>
  <c r="S22" i="2"/>
  <c r="E5" i="17"/>
  <c r="J5" i="17" s="1"/>
  <c r="E12" i="22"/>
  <c r="C7" i="26"/>
  <c r="O8" i="2"/>
  <c r="I10" i="2"/>
  <c r="J10" i="2" s="1"/>
  <c r="P10" i="2" s="1"/>
  <c r="R10" i="2" s="1"/>
  <c r="U23" i="2"/>
  <c r="J2" i="15"/>
  <c r="E6" i="17"/>
  <c r="J6" i="17" s="1"/>
  <c r="I14" i="2"/>
  <c r="J14" i="2" s="1"/>
  <c r="P14" i="2" s="1"/>
  <c r="R14" i="2" s="1"/>
  <c r="E7" i="17"/>
  <c r="J7" i="17" s="1"/>
  <c r="I18" i="2"/>
  <c r="B9" i="24"/>
  <c r="E8" i="17"/>
  <c r="J8" i="17" s="1"/>
  <c r="C9" i="24"/>
  <c r="B6" i="20" l="1"/>
  <c r="B8" i="26" s="1"/>
  <c r="E13" i="22"/>
  <c r="C8" i="26"/>
  <c r="B10" i="24"/>
  <c r="B16" i="21"/>
  <c r="B14" i="3"/>
  <c r="D8" i="5" s="1"/>
  <c r="U24" i="2"/>
  <c r="J9" i="17"/>
  <c r="B5" i="20" s="1"/>
  <c r="X38" i="2"/>
  <c r="B15" i="3" s="1"/>
  <c r="D7" i="26"/>
  <c r="E7" i="26" s="1"/>
  <c r="B13" i="21"/>
  <c r="D6" i="4"/>
  <c r="B11" i="9"/>
  <c r="D5" i="4"/>
  <c r="B24" i="6"/>
  <c r="C24" i="6" s="1"/>
  <c r="B22" i="6"/>
  <c r="C22" i="6" s="1"/>
  <c r="B23" i="6" s="1"/>
  <c r="C23" i="6" s="1"/>
  <c r="U6" i="2"/>
  <c r="U17" i="2" s="1"/>
  <c r="J10" i="15" s="1"/>
  <c r="F24" i="15" s="1"/>
  <c r="U7" i="2"/>
  <c r="U15" i="2" s="1"/>
  <c r="J4" i="15"/>
  <c r="F10" i="15" s="1"/>
  <c r="B28" i="9"/>
  <c r="B36" i="9" s="1"/>
  <c r="C30" i="9" s="1"/>
  <c r="F8" i="15"/>
  <c r="B8" i="8"/>
  <c r="C8" i="8" s="1"/>
  <c r="B8" i="11"/>
  <c r="C8" i="11" s="1"/>
  <c r="B13" i="8"/>
  <c r="C13" i="8" s="1"/>
  <c r="B5" i="5"/>
  <c r="C5" i="5" s="1"/>
  <c r="B10" i="5"/>
  <c r="C10" i="5" s="1"/>
  <c r="D10" i="5" s="1"/>
  <c r="B7" i="8"/>
  <c r="C7" i="8" s="1"/>
  <c r="D7" i="8" s="1"/>
  <c r="B7" i="11"/>
  <c r="C7" i="11" s="1"/>
  <c r="D7" i="11" s="1"/>
  <c r="B12" i="8"/>
  <c r="C12" i="8" s="1"/>
  <c r="D12" i="8" s="1"/>
  <c r="B4" i="5"/>
  <c r="C4" i="5" s="1"/>
  <c r="B9" i="5"/>
  <c r="C9" i="5" s="1"/>
  <c r="D9" i="5" s="1"/>
  <c r="C9" i="4"/>
  <c r="B6" i="11"/>
  <c r="C6" i="11" s="1"/>
  <c r="B11" i="8"/>
  <c r="C11" i="8" s="1"/>
  <c r="B5" i="8"/>
  <c r="C5" i="8" s="1"/>
  <c r="B5" i="11"/>
  <c r="C5" i="11" s="1"/>
  <c r="B7" i="5"/>
  <c r="C7" i="5" s="1"/>
  <c r="B4" i="8"/>
  <c r="C4" i="8" s="1"/>
  <c r="B4" i="11"/>
  <c r="C4" i="11" s="1"/>
  <c r="B9" i="8"/>
  <c r="C9" i="8" s="1"/>
  <c r="D9" i="8" s="1"/>
  <c r="B6" i="5"/>
  <c r="C6" i="5" s="1"/>
  <c r="D6" i="5" s="1"/>
  <c r="B11" i="5"/>
  <c r="C11" i="5" s="1"/>
  <c r="D11" i="5" s="1"/>
  <c r="R8" i="2"/>
  <c r="U9" i="2" s="1"/>
  <c r="U19" i="2" s="1"/>
  <c r="O22" i="2"/>
  <c r="P22" i="2"/>
  <c r="D4" i="4"/>
  <c r="F13" i="16"/>
  <c r="H13" i="16" s="1"/>
  <c r="B8" i="21"/>
  <c r="B9" i="21" s="1"/>
  <c r="B12" i="21" s="1"/>
  <c r="C5" i="24"/>
  <c r="B5" i="24"/>
  <c r="B5" i="22"/>
  <c r="B7" i="9"/>
  <c r="D37" i="9"/>
  <c r="D5" i="5" l="1"/>
  <c r="D13" i="8"/>
  <c r="D7" i="5"/>
  <c r="D7" i="4"/>
  <c r="D8" i="4" s="1"/>
  <c r="D9" i="4" s="1"/>
  <c r="D8" i="26"/>
  <c r="E8" i="26" s="1"/>
  <c r="D8" i="11"/>
  <c r="D8" i="8"/>
  <c r="D5" i="11"/>
  <c r="B6" i="7"/>
  <c r="B42" i="7" s="1"/>
  <c r="C42" i="7" s="1"/>
  <c r="B5" i="13"/>
  <c r="C5" i="13"/>
  <c r="F12" i="16"/>
  <c r="H12" i="16" s="1"/>
  <c r="D5" i="13"/>
  <c r="D5" i="8"/>
  <c r="E5" i="13"/>
  <c r="D11" i="8"/>
  <c r="B4" i="14"/>
  <c r="D6" i="11"/>
  <c r="C6" i="26"/>
  <c r="B29" i="6"/>
  <c r="C29" i="6" s="1"/>
  <c r="B15" i="14" s="1"/>
  <c r="E11" i="22"/>
  <c r="B8" i="24"/>
  <c r="C8" i="24"/>
  <c r="B15" i="21"/>
  <c r="C34" i="9"/>
  <c r="D34" i="9" s="1"/>
  <c r="E34" i="9" s="1"/>
  <c r="U25" i="2"/>
  <c r="J8" i="15"/>
  <c r="J9" i="15" s="1"/>
  <c r="C31" i="9"/>
  <c r="D31" i="9" s="1"/>
  <c r="E31" i="9" s="1"/>
  <c r="C24" i="9"/>
  <c r="D24" i="9" s="1"/>
  <c r="B14" i="21"/>
  <c r="C32" i="9"/>
  <c r="D32" i="9" s="1"/>
  <c r="E32" i="9" s="1"/>
  <c r="C28" i="9"/>
  <c r="D28" i="9" s="1"/>
  <c r="E28" i="9" s="1"/>
  <c r="C29" i="9"/>
  <c r="D29" i="9" s="1"/>
  <c r="E29" i="9" s="1"/>
  <c r="C33" i="9"/>
  <c r="D33" i="9" s="1"/>
  <c r="E33" i="9" s="1"/>
  <c r="U16" i="2"/>
  <c r="J12" i="15"/>
  <c r="F25" i="15" s="1"/>
  <c r="C27" i="9"/>
  <c r="D27" i="9" s="1"/>
  <c r="E27" i="9" s="1"/>
  <c r="C35" i="9"/>
  <c r="D35" i="9" s="1"/>
  <c r="E35" i="9" s="1"/>
  <c r="C25" i="9"/>
  <c r="D25" i="9" s="1"/>
  <c r="E25" i="9" s="1"/>
  <c r="C26" i="9"/>
  <c r="D26" i="9" s="1"/>
  <c r="E26" i="9" s="1"/>
  <c r="D30" i="9"/>
  <c r="E30" i="9" s="1"/>
  <c r="B24" i="14"/>
  <c r="E37" i="9"/>
  <c r="C5" i="26"/>
  <c r="D5" i="26" s="1"/>
  <c r="E5" i="26" s="1"/>
  <c r="B8" i="9"/>
  <c r="B5" i="7"/>
  <c r="E6" i="13"/>
  <c r="D6" i="13"/>
  <c r="F16" i="16"/>
  <c r="H16" i="16" s="1"/>
  <c r="C6" i="13"/>
  <c r="B5" i="14"/>
  <c r="B6" i="13"/>
  <c r="R22" i="2"/>
  <c r="D4" i="5"/>
  <c r="C12" i="5"/>
  <c r="J7" i="15" s="1"/>
  <c r="H10" i="22"/>
  <c r="J3" i="15"/>
  <c r="C6" i="24"/>
  <c r="C7" i="24" s="1"/>
  <c r="B8" i="22"/>
  <c r="B8" i="23"/>
  <c r="B8" i="25"/>
  <c r="B12" i="10"/>
  <c r="D4" i="11"/>
  <c r="C9" i="11"/>
  <c r="D4" i="8"/>
  <c r="B6" i="26"/>
  <c r="C7" i="20"/>
  <c r="B7" i="20"/>
  <c r="D12" i="5" l="1"/>
  <c r="D6" i="26"/>
  <c r="E6" i="26" s="1"/>
  <c r="D9" i="11"/>
  <c r="C11" i="24"/>
  <c r="C9" i="26" s="1"/>
  <c r="F9" i="15"/>
  <c r="B31" i="6"/>
  <c r="C31" i="6" s="1"/>
  <c r="B30" i="6"/>
  <c r="C30" i="6" s="1"/>
  <c r="D10" i="8"/>
  <c r="B52" i="1"/>
  <c r="B18" i="21"/>
  <c r="E14" i="22" s="1"/>
  <c r="J11" i="15"/>
  <c r="F21" i="15" s="1"/>
  <c r="F31" i="15"/>
  <c r="J14" i="15"/>
  <c r="F26" i="15" s="1"/>
  <c r="D38" i="9"/>
  <c r="D39" i="9" s="1"/>
  <c r="B25" i="14" s="1"/>
  <c r="E24" i="9"/>
  <c r="E38" i="9" s="1"/>
  <c r="E39" i="9" s="1"/>
  <c r="F20" i="15"/>
  <c r="E10" i="22"/>
  <c r="B9" i="26"/>
  <c r="G8" i="25"/>
  <c r="C8" i="25"/>
  <c r="D8" i="25" s="1"/>
  <c r="B10" i="22"/>
  <c r="J21" i="15"/>
  <c r="F13" i="15" s="1"/>
  <c r="J20" i="15"/>
  <c r="F12" i="15" s="1"/>
  <c r="F11" i="15"/>
  <c r="J19" i="15"/>
  <c r="F17" i="15" s="1"/>
  <c r="B41" i="7"/>
  <c r="C41" i="7" s="1"/>
  <c r="B29" i="7"/>
  <c r="C29" i="7" s="1"/>
  <c r="B30" i="7" s="1"/>
  <c r="C30" i="7" s="1"/>
  <c r="B27" i="7"/>
  <c r="C27" i="7" s="1"/>
  <c r="B28" i="7" s="1"/>
  <c r="C28" i="7" s="1"/>
  <c r="B25" i="7"/>
  <c r="C25" i="7" s="1"/>
  <c r="B26" i="7" s="1"/>
  <c r="C26" i="7" s="1"/>
  <c r="B31" i="7"/>
  <c r="C31" i="7" s="1"/>
  <c r="B23" i="7"/>
  <c r="C23" i="7" s="1"/>
  <c r="B24" i="7" s="1"/>
  <c r="C24" i="7" s="1"/>
  <c r="F14" i="15"/>
  <c r="J18" i="15"/>
  <c r="F16" i="15" s="1"/>
  <c r="B16" i="9"/>
  <c r="F8" i="16"/>
  <c r="B12" i="9"/>
  <c r="B15" i="13"/>
  <c r="B4" i="10"/>
  <c r="B4" i="23"/>
  <c r="B14" i="23" s="1"/>
  <c r="B15" i="23" s="1"/>
  <c r="J23" i="15"/>
  <c r="B7" i="13"/>
  <c r="B9" i="9"/>
  <c r="B6" i="24"/>
  <c r="B7" i="24" s="1"/>
  <c r="B11" i="24" s="1"/>
  <c r="B6" i="14"/>
  <c r="B6" i="22"/>
  <c r="B4" i="12"/>
  <c r="C12" i="24" l="1"/>
  <c r="C13" i="24" s="1"/>
  <c r="D9" i="26"/>
  <c r="E9" i="26" s="1"/>
  <c r="J13" i="15"/>
  <c r="J22" i="15" s="1"/>
  <c r="F15" i="15" s="1"/>
  <c r="B10" i="8"/>
  <c r="C10" i="8" s="1"/>
  <c r="B53" i="1"/>
  <c r="J31" i="15"/>
  <c r="F45" i="15" s="1"/>
  <c r="B9" i="23"/>
  <c r="B32" i="7"/>
  <c r="C32" i="7" s="1"/>
  <c r="B33" i="7" s="1"/>
  <c r="C33" i="7" s="1"/>
  <c r="C15" i="12"/>
  <c r="D15" i="12" s="1"/>
  <c r="C11" i="12"/>
  <c r="D11" i="12" s="1"/>
  <c r="C13" i="12"/>
  <c r="D13" i="12" s="1"/>
  <c r="C12" i="12"/>
  <c r="D12" i="12" s="1"/>
  <c r="C14" i="12"/>
  <c r="D14" i="12" s="1"/>
  <c r="B17" i="9"/>
  <c r="B13" i="9"/>
  <c r="B8" i="13"/>
  <c r="J35" i="15"/>
  <c r="F35" i="15"/>
  <c r="B10" i="9"/>
  <c r="B15" i="9" s="1"/>
  <c r="B5" i="10"/>
  <c r="F19" i="16"/>
  <c r="B22" i="13"/>
  <c r="B9" i="22"/>
  <c r="B11" i="22" s="1"/>
  <c r="B12" i="22" s="1"/>
  <c r="B7" i="14"/>
  <c r="F10" i="16"/>
  <c r="F9" i="16"/>
  <c r="F17" i="16"/>
  <c r="F18" i="16"/>
  <c r="J15" i="15" l="1"/>
  <c r="F28" i="15" s="1"/>
  <c r="F22" i="15"/>
  <c r="J32" i="15"/>
  <c r="F46" i="15" s="1"/>
  <c r="B34" i="7"/>
  <c r="C34" i="7" s="1"/>
  <c r="B35" i="7" s="1"/>
  <c r="C35" i="7" s="1"/>
  <c r="B23" i="13"/>
  <c r="H8" i="16"/>
  <c r="B8" i="10"/>
  <c r="B6" i="10"/>
  <c r="J24" i="15"/>
  <c r="F36" i="15" s="1"/>
  <c r="B16" i="13"/>
  <c r="C7" i="13"/>
  <c r="B9" i="14"/>
  <c r="B7" i="22"/>
  <c r="H19" i="16"/>
  <c r="H22" i="16" s="1"/>
  <c r="B9" i="10"/>
  <c r="J17" i="15"/>
  <c r="F30" i="15" s="1"/>
  <c r="J16" i="15"/>
  <c r="F29" i="15" s="1"/>
  <c r="F15" i="10" l="1"/>
  <c r="E15" i="10"/>
  <c r="E11" i="12" s="1"/>
  <c r="J19" i="16"/>
  <c r="H20" i="16" s="1"/>
  <c r="H21" i="16" s="1"/>
  <c r="D6" i="8"/>
  <c r="D14" i="8" s="1"/>
  <c r="B36" i="7"/>
  <c r="C36" i="7" s="1"/>
  <c r="B8" i="14"/>
  <c r="B19" i="14"/>
  <c r="J27" i="15"/>
  <c r="F39" i="15" s="1"/>
  <c r="H9" i="22"/>
  <c r="B7" i="23"/>
  <c r="B12" i="14"/>
  <c r="B7" i="12"/>
  <c r="B7" i="25"/>
  <c r="H10" i="16"/>
  <c r="J10" i="16" s="1"/>
  <c r="H9" i="16"/>
  <c r="J9" i="16" s="1"/>
  <c r="H17" i="16"/>
  <c r="J17" i="16" s="1"/>
  <c r="H18" i="16"/>
  <c r="J18" i="16" s="1"/>
  <c r="J8" i="16"/>
  <c r="B10" i="10"/>
  <c r="B13" i="14"/>
  <c r="B17" i="13"/>
  <c r="J28" i="15"/>
  <c r="F40" i="15" s="1"/>
  <c r="C8" i="13"/>
  <c r="C9" i="13"/>
  <c r="J25" i="15"/>
  <c r="F37" i="15" s="1"/>
  <c r="B7" i="10"/>
  <c r="E5" i="22" s="1"/>
  <c r="E7" i="13"/>
  <c r="B5" i="23"/>
  <c r="B10" i="14"/>
  <c r="H6" i="22"/>
  <c r="B5" i="25"/>
  <c r="B5" i="12"/>
  <c r="B25" i="13"/>
  <c r="B26" i="13" s="1"/>
  <c r="F19" i="10" l="1"/>
  <c r="E19" i="10"/>
  <c r="E15" i="12" s="1"/>
  <c r="E18" i="10"/>
  <c r="E14" i="12" s="1"/>
  <c r="F18" i="10"/>
  <c r="E17" i="10"/>
  <c r="E13" i="12" s="1"/>
  <c r="F17" i="10"/>
  <c r="E16" i="10"/>
  <c r="E12" i="12" s="1"/>
  <c r="F16" i="10"/>
  <c r="H7" i="22"/>
  <c r="E7" i="22"/>
  <c r="I10" i="22" s="1"/>
  <c r="E6" i="22"/>
  <c r="B14" i="14"/>
  <c r="B18" i="13"/>
  <c r="B19" i="13" s="1"/>
  <c r="J29" i="15"/>
  <c r="G5" i="25"/>
  <c r="E5" i="25"/>
  <c r="F5" i="25" s="1"/>
  <c r="C5" i="25"/>
  <c r="D5" i="25" s="1"/>
  <c r="G7" i="25"/>
  <c r="E7" i="25"/>
  <c r="F7" i="25" s="1"/>
  <c r="C7" i="25"/>
  <c r="D7" i="25" s="1"/>
  <c r="E8" i="13"/>
  <c r="E9" i="13"/>
  <c r="J26" i="15"/>
  <c r="H8" i="22"/>
  <c r="B6" i="25"/>
  <c r="B6" i="23"/>
  <c r="B10" i="23" s="1"/>
  <c r="B11" i="14"/>
  <c r="D7" i="13"/>
  <c r="B6" i="12"/>
  <c r="B24" i="13"/>
  <c r="U20" i="2"/>
  <c r="C11" i="13"/>
  <c r="J30" i="15" s="1"/>
  <c r="F42" i="15" s="1"/>
  <c r="C10" i="13"/>
  <c r="B6" i="8"/>
  <c r="C6" i="8" s="1"/>
  <c r="C14" i="8" s="1"/>
  <c r="B43" i="7"/>
  <c r="C43" i="7" s="1"/>
  <c r="E8" i="25"/>
  <c r="F8" i="25" s="1"/>
  <c r="B11" i="23" l="1"/>
  <c r="B12" i="23" s="1"/>
  <c r="B13" i="23" s="1"/>
  <c r="J33" i="15"/>
  <c r="F47" i="15" s="1"/>
  <c r="F38" i="15"/>
  <c r="E11" i="13"/>
  <c r="E10" i="13"/>
  <c r="B23" i="14" s="1"/>
  <c r="B16" i="14"/>
  <c r="B21" i="14"/>
  <c r="J36" i="15"/>
  <c r="F32" i="15" s="1"/>
  <c r="J34" i="15"/>
  <c r="F48" i="15" s="1"/>
  <c r="F41" i="15"/>
  <c r="D8" i="13"/>
  <c r="D9" i="13"/>
  <c r="G6" i="25"/>
  <c r="E6" i="25"/>
  <c r="F6" i="25" s="1"/>
  <c r="C6" i="25"/>
  <c r="D6" i="25" s="1"/>
  <c r="D11" i="13" l="1"/>
  <c r="D10" i="13"/>
  <c r="B22"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 authorId="0" shapeId="0" xr:uid="{00000000-0006-0000-0F00-000001000000}">
      <text>
        <r>
          <rPr>
            <sz val="10"/>
            <rFont val="Arial"/>
            <family val="2"/>
          </rPr>
          <t>Content and values transcribed from attached Appraisal Full Scope PDF Report v7.docx</t>
        </r>
      </text>
    </comment>
  </commentList>
</comments>
</file>

<file path=xl/sharedStrings.xml><?xml version="1.0" encoding="utf-8"?>
<sst xmlns="http://schemas.openxmlformats.org/spreadsheetml/2006/main" count="915" uniqueCount="694">
  <si>
    <t>GASQ Assumptions &amp; Controls</t>
  </si>
  <si>
    <t>GASQ-branded operating model worksheet</t>
  </si>
  <si>
    <t>Core Controls</t>
  </si>
  <si>
    <t>Direct Labor Wage ($/paid hour)</t>
  </si>
  <si>
    <t>Annual Paid Hours per FTE</t>
  </si>
  <si>
    <t>Annual Productive Coverage Hours per FTE</t>
  </si>
  <si>
    <t>Locality Pay %</t>
  </si>
  <si>
    <t>Shift Differential %</t>
  </si>
  <si>
    <t>Fringe / Employer Burden</t>
  </si>
  <si>
    <t>FICA / Medicare %</t>
  </si>
  <si>
    <t>FUTA %</t>
  </si>
  <si>
    <t>SUTA %</t>
  </si>
  <si>
    <t>Workers Compensation %</t>
  </si>
  <si>
    <t>Health &amp; Welfare ($/paid hour)</t>
  </si>
  <si>
    <t>Vacation %</t>
  </si>
  <si>
    <t>Paid Holidays %</t>
  </si>
  <si>
    <t>Sick Leave %</t>
  </si>
  <si>
    <t>Operations / Support</t>
  </si>
  <si>
    <t>Recruiting / Hiring %</t>
  </si>
  <si>
    <t>Training / Certification %</t>
  </si>
  <si>
    <t>Uniforms / Equipment %</t>
  </si>
  <si>
    <t>Field Supervision %</t>
  </si>
  <si>
    <t>Contract Management %</t>
  </si>
  <si>
    <t>Quality Assurance %</t>
  </si>
  <si>
    <t>Vehicles / Patrol %</t>
  </si>
  <si>
    <t>Technology / Systems %</t>
  </si>
  <si>
    <t>General Liability Insurance %</t>
  </si>
  <si>
    <t>Umbrella / Other Insurance %</t>
  </si>
  <si>
    <t>Corporate &amp; Pricing Controls</t>
  </si>
  <si>
    <t>Administrative / HR / Payroll %</t>
  </si>
  <si>
    <t>Accounting / Legal %</t>
  </si>
  <si>
    <t>Corporate Overhead %</t>
  </si>
  <si>
    <t>G&amp;A %</t>
  </si>
  <si>
    <t>Profit / Fee %</t>
  </si>
  <si>
    <t>Vendor TCO Factor vs Government TCO</t>
  </si>
  <si>
    <t>Vendor Floor Factor vs Vendor TCO</t>
  </si>
  <si>
    <t>Minimum Weekly Hours for Floor Eligibility</t>
  </si>
  <si>
    <t>Government Full Burden Labor Share</t>
  </si>
  <si>
    <t>Government Workforce Hours Basis</t>
  </si>
  <si>
    <t>Government TCO Multiplier vs Direct Labor</t>
  </si>
  <si>
    <t>Model Note</t>
  </si>
  <si>
    <t>Vehicle Tab Drivers</t>
  </si>
  <si>
    <t>Vehicle tab linked into Operations / Vehicles line item</t>
  </si>
  <si>
    <t>Vehicles Required</t>
  </si>
  <si>
    <t>Avg Miles per Vehicle per Day</t>
  </si>
  <si>
    <t>Fuel Cost per Gallon</t>
  </si>
  <si>
    <t>Total Annual Vehicle Cost</t>
  </si>
  <si>
    <t>Vehicle Cost per Labor Hour</t>
  </si>
  <si>
    <t>GASQ Posts / Positions / Locations</t>
  </si>
  <si>
    <t>Controls</t>
  </si>
  <si>
    <t>Use AUTO mode to activate model-driven billing rates or MANUAL mode to type your own rate. AUTO logic: Auto Bill Rate = (Pay Wage ÷ labor share) × (workforce hours basis ÷ productive coverage hours); Final Bill Rate = Auto Bill Rate × labor share. This section is built as an Excel table so rows can be inserted or removed without breaking formulas. See the integrated Scope of Work block at the lower right of this tab.</t>
  </si>
  <si>
    <t>Std Hrs / FTE</t>
  </si>
  <si>
    <t>OT Premium (x)</t>
  </si>
  <si>
    <t>Summary</t>
  </si>
  <si>
    <t>AUTO uses Inputs!B4</t>
  </si>
  <si>
    <t>MANUAL uses col V</t>
  </si>
  <si>
    <t>Weekly Hours</t>
  </si>
  <si>
    <t>Wage Input</t>
  </si>
  <si>
    <t>Control</t>
  </si>
  <si>
    <t>Line Item</t>
  </si>
  <si>
    <t>Post</t>
  </si>
  <si>
    <t>Position</t>
  </si>
  <si>
    <t>Location</t>
  </si>
  <si>
    <t>Pay Wage
($/hr)</t>
  </si>
  <si>
    <t>Rate Mode</t>
  </si>
  <si>
    <t>Manual Bill
Rate ($/hr)</t>
  </si>
  <si>
    <t>Auto Bill
Rate ($/hr)</t>
  </si>
  <si>
    <t>Final Bill
Rate ($/hr)</t>
  </si>
  <si>
    <t>Unbilled OT
(% Hrs)</t>
  </si>
  <si>
    <t>Billed OT
(% Hrs)</t>
  </si>
  <si>
    <t>Training
Hrs</t>
  </si>
  <si>
    <t>Training Wage
($/hr)</t>
  </si>
  <si>
    <t>Weekly Pay Cost</t>
  </si>
  <si>
    <t>Weekly Billing</t>
  </si>
  <si>
    <t>Training Cost</t>
  </si>
  <si>
    <t>Weekly Margin</t>
  </si>
  <si>
    <t>Headcount</t>
  </si>
  <si>
    <t>Manual Pay Wage
($/hr)</t>
  </si>
  <si>
    <t>Wage Mode</t>
  </si>
  <si>
    <t>1</t>
  </si>
  <si>
    <t>Post 1</t>
  </si>
  <si>
    <t>Armed Security Officer</t>
  </si>
  <si>
    <t>AUTO</t>
  </si>
  <si>
    <t>2</t>
  </si>
  <si>
    <t>Post 2</t>
  </si>
  <si>
    <t>Security Officer I</t>
  </si>
  <si>
    <t>3</t>
  </si>
  <si>
    <t>Post 3</t>
  </si>
  <si>
    <t>Security Officer II</t>
  </si>
  <si>
    <t>4</t>
  </si>
  <si>
    <t>Post 4</t>
  </si>
  <si>
    <t>5</t>
  </si>
  <si>
    <t>Post 5</t>
  </si>
  <si>
    <t>AUTO rate = ((Pay Wage × (1 + Inputs!B44 locality pay)) ÷ Inputs!B42 labor share) × (Inputs!B43 workforce hours basis ÷ Inputs!B6 productive coverage hours). Final Bill Rate switches automatically based on Rate Mode.</t>
  </si>
  <si>
    <t>6</t>
  </si>
  <si>
    <t>Post 6</t>
  </si>
  <si>
    <t>7</t>
  </si>
  <si>
    <t>Post 7</t>
  </si>
  <si>
    <t>Annual Hours</t>
  </si>
  <si>
    <t>8</t>
  </si>
  <si>
    <t>Post 8</t>
  </si>
  <si>
    <t>Blended Direct Wage</t>
  </si>
  <si>
    <t>9</t>
  </si>
  <si>
    <t>Post 9</t>
  </si>
  <si>
    <t>Blended Bill Rate</t>
  </si>
  <si>
    <t>10</t>
  </si>
  <si>
    <t>Post 10</t>
  </si>
  <si>
    <t>Annual Billings</t>
  </si>
  <si>
    <t>11</t>
  </si>
  <si>
    <t>Post 11</t>
  </si>
  <si>
    <t>Annual Pay Cost</t>
  </si>
  <si>
    <t>12</t>
  </si>
  <si>
    <t>Post 12</t>
  </si>
  <si>
    <t>Annual Training Cost</t>
  </si>
  <si>
    <t>13</t>
  </si>
  <si>
    <t>Post 13</t>
  </si>
  <si>
    <t>Annual Margin</t>
  </si>
  <si>
    <t>14</t>
  </si>
  <si>
    <t>Post 14</t>
  </si>
  <si>
    <t>Actual vs Target Rate</t>
  </si>
  <si>
    <t>15</t>
  </si>
  <si>
    <t>Post 15</t>
  </si>
  <si>
    <t>Feed Status</t>
  </si>
  <si>
    <t>Totals</t>
  </si>
  <si>
    <t>Annual Coverage Hours</t>
  </si>
  <si>
    <t>Weekly Labor Hours</t>
  </si>
  <si>
    <t>Annual Labor Hours</t>
  </si>
  <si>
    <t>GASQ Scope of Work (Integrated with Post / Positions)</t>
  </si>
  <si>
    <t>FTEs Required</t>
  </si>
  <si>
    <t>Edit scope inputs here; staffing metrics update automatically and remain mirrored on the Scope_of_Work tab.</t>
  </si>
  <si>
    <t>User Inputs</t>
  </si>
  <si>
    <t>Hours of Coverage per Day</t>
  </si>
  <si>
    <t>Days of Coverage per Week</t>
  </si>
  <si>
    <t>Weeks of Coverage</t>
  </si>
  <si>
    <t>Staff per 8-Hour Shift</t>
  </si>
  <si>
    <t>Calculated Staffing Metrics</t>
  </si>
  <si>
    <t>8-Hour Shifts per Day</t>
  </si>
  <si>
    <t>Daily Labor Hours</t>
  </si>
  <si>
    <t>FTEs Required @ Paid Hours Basis</t>
  </si>
  <si>
    <t>Coverage-to-FTE Ratio</t>
  </si>
  <si>
    <t>Notes</t>
  </si>
  <si>
    <t>GASQ Scope of Work</t>
  </si>
  <si>
    <t>Primary Scope of Work inputs are now integrated on the Post_Positions tab; this sheet mirrors those values.</t>
  </si>
  <si>
    <t>Linked View (edit on Post_Positions)</t>
  </si>
  <si>
    <t>Linked mirror. Edit the integrated Scope of Work block on Post_Positions.</t>
  </si>
  <si>
    <t>GASQ Direct Labor Build-Up</t>
  </si>
  <si>
    <t>Input / Formula</t>
  </si>
  <si>
    <t>Hourly Amount</t>
  </si>
  <si>
    <t>Annual Amount</t>
  </si>
  <si>
    <t>Base Direct Labor Wage</t>
  </si>
  <si>
    <t xml:space="preserve">Locality Pay </t>
  </si>
  <si>
    <t>Shift Differential</t>
  </si>
  <si>
    <t>OT/Holiday Premium</t>
  </si>
  <si>
    <t>Total Direct Labor</t>
  </si>
  <si>
    <t>Direct labor wage now mirrors the direct labor wage input (or weighted blended pay wage from Post_Positions only), before premiums and burden are applied.</t>
  </si>
  <si>
    <t>GASQ Fringe &amp; Employer Burden</t>
  </si>
  <si>
    <t>FICA / Medicare</t>
  </si>
  <si>
    <t>FUTA</t>
  </si>
  <si>
    <t>SUTA</t>
  </si>
  <si>
    <t>Workers Compensation</t>
  </si>
  <si>
    <t>Health &amp; Welfare</t>
  </si>
  <si>
    <t>Vacation</t>
  </si>
  <si>
    <t>Paid Holidays</t>
  </si>
  <si>
    <t>Sick Leave</t>
  </si>
  <si>
    <t>Total Fringe / Burden</t>
  </si>
  <si>
    <t>GASQ Vehicle / Patrol Cost Model</t>
  </si>
  <si>
    <t>Vehicle Assumptions</t>
  </si>
  <si>
    <t>Units</t>
  </si>
  <si>
    <t>vehicles</t>
  </si>
  <si>
    <t>User input</t>
  </si>
  <si>
    <t>Average Miles per Vehicle per Day</t>
  </si>
  <si>
    <t>miles/day</t>
  </si>
  <si>
    <t>Operating Days per Week</t>
  </si>
  <si>
    <t>days/week</t>
  </si>
  <si>
    <t>Linked from scope</t>
  </si>
  <si>
    <t>weeks/year</t>
  </si>
  <si>
    <t>Fuel Economy</t>
  </si>
  <si>
    <t>mpg</t>
  </si>
  <si>
    <t>$/gallon</t>
  </si>
  <si>
    <t>Maintenance Cost per Mile</t>
  </si>
  <si>
    <t>$/mile</t>
  </si>
  <si>
    <t>Monthly Lease / Payment per Vehicle</t>
  </si>
  <si>
    <t>$/month</t>
  </si>
  <si>
    <t>Monthly Insurance per Vehicle</t>
  </si>
  <si>
    <t>Monthly GPS / Telematics per Vehicle</t>
  </si>
  <si>
    <t>Annual Registration / Tags per Vehicle</t>
  </si>
  <si>
    <t>$/year</t>
  </si>
  <si>
    <t>Vehicle Cost Calculations</t>
  </si>
  <si>
    <t>Metric</t>
  </si>
  <si>
    <t>Formula</t>
  </si>
  <si>
    <t>Result</t>
  </si>
  <si>
    <t>Daily Fleet Miles</t>
  </si>
  <si>
    <t>Annual Fleet Miles</t>
  </si>
  <si>
    <t>miles/year</t>
  </si>
  <si>
    <t>Annual Fuel Gallons</t>
  </si>
  <si>
    <t>gallons/year</t>
  </si>
  <si>
    <t>Annual Fuel Cost</t>
  </si>
  <si>
    <t>Annual Maintenance Cost</t>
  </si>
  <si>
    <t>Annual Lease / Payment Cost</t>
  </si>
  <si>
    <t>Annual Insurance Cost</t>
  </si>
  <si>
    <t>Annual GPS / Telematics Cost</t>
  </si>
  <si>
    <t>Annual Registration / Tags</t>
  </si>
  <si>
    <t>Vehicle Cost per Annual Labor Hour</t>
  </si>
  <si>
    <t>$/labor hr</t>
  </si>
  <si>
    <t>Vehicle Cost per Productive Coverage Hour</t>
  </si>
  <si>
    <t>$/coverage hr</t>
  </si>
  <si>
    <t>This tab calculates annual fleet cost and converts it into an hourly rate that feeds the Operations tab.</t>
  </si>
  <si>
    <t>GASQ Uniform &amp; Equipment Module</t>
  </si>
  <si>
    <t>Program Inputs</t>
  </si>
  <si>
    <t>Input / Line Item</t>
  </si>
  <si>
    <t>Value</t>
  </si>
  <si>
    <t>Calc / Annualized</t>
  </si>
  <si>
    <t>FTEs</t>
  </si>
  <si>
    <t>Linked from Scope_of_Work</t>
  </si>
  <si>
    <t>hours</t>
  </si>
  <si>
    <t>Uniform Sets per Employee</t>
  </si>
  <si>
    <t>sets/FTE</t>
  </si>
  <si>
    <t>Hardcoded input</t>
  </si>
  <si>
    <t>Cost per Uniform Set</t>
  </si>
  <si>
    <t>$ / set</t>
  </si>
  <si>
    <t>Uniform Useful Life</t>
  </si>
  <si>
    <t>months</t>
  </si>
  <si>
    <t>Annual issue if 12 months</t>
  </si>
  <si>
    <t>Duty Gear Kit per Employee</t>
  </si>
  <si>
    <t>$ / FTE</t>
  </si>
  <si>
    <t>Belts, pouches, accessories</t>
  </si>
  <si>
    <t>Duty Gear Useful Life</t>
  </si>
  <si>
    <t>Annualized over useful life</t>
  </si>
  <si>
    <t>Radio / Device per Employee</t>
  </si>
  <si>
    <t>Phones, radios, chargers</t>
  </si>
  <si>
    <t>Radio / Device Useful Life</t>
  </si>
  <si>
    <t>Badge / ID / Misc. Issue per Employee</t>
  </si>
  <si>
    <t>Initial issue</t>
  </si>
  <si>
    <t>Badge / ID Useful Life</t>
  </si>
  <si>
    <t>Annual Consumables / Small Equipment</t>
  </si>
  <si>
    <t>$ / FTE / year</t>
  </si>
  <si>
    <t>Gloves, batteries, notebooks</t>
  </si>
  <si>
    <t>Spare / Float Inventory Factor</t>
  </si>
  <si>
    <t>%</t>
  </si>
  <si>
    <t>Reserve for extras, turnover</t>
  </si>
  <si>
    <t>Program Management / Logistics Factor</t>
  </si>
  <si>
    <t>Sizing and replacement admin</t>
  </si>
  <si>
    <t>Annual Cost Build</t>
  </si>
  <si>
    <t>Comment</t>
  </si>
  <si>
    <t>Initial Uniform Issue</t>
  </si>
  <si>
    <t>$</t>
  </si>
  <si>
    <t>FTEs × sets × cost</t>
  </si>
  <si>
    <t>Annual Uniform Cost</t>
  </si>
  <si>
    <t>$ / year</t>
  </si>
  <si>
    <t>Annualized by useful life</t>
  </si>
  <si>
    <t>Initial Duty Gear Issue</t>
  </si>
  <si>
    <t>FTEs × kit cost</t>
  </si>
  <si>
    <t>Annual Duty Gear Cost</t>
  </si>
  <si>
    <t>Initial Radio / Device Issue</t>
  </si>
  <si>
    <t>FTEs × device cost</t>
  </si>
  <si>
    <t>Annual Radio / Device Cost</t>
  </si>
  <si>
    <t>Initial Badge / ID / Misc. Issue</t>
  </si>
  <si>
    <t>FTEs × issue cost</t>
  </si>
  <si>
    <t>Annual Badge / ID / Misc. Cost</t>
  </si>
  <si>
    <t>Annual Consumables</t>
  </si>
  <si>
    <t>Direct annual cost</t>
  </si>
  <si>
    <t>Subtotal Annual Equipment Cost</t>
  </si>
  <si>
    <t>Before reserve and logistics</t>
  </si>
  <si>
    <t>Spare / Float Inventory Cost</t>
  </si>
  <si>
    <t>Reserve factor</t>
  </si>
  <si>
    <t>Program Management / Logistics</t>
  </si>
  <si>
    <t>Sizing, shipping, admin</t>
  </si>
  <si>
    <t>Total Annual Uniform &amp; Equipment Cost</t>
  </si>
  <si>
    <t>Feeds Operations tab</t>
  </si>
  <si>
    <t>Uniform &amp; Equipment Cost per Labor Hour</t>
  </si>
  <si>
    <t>$ / labor hour</t>
  </si>
  <si>
    <t>Feeds Operations hourly rate</t>
  </si>
  <si>
    <t>Module Checks</t>
  </si>
  <si>
    <t>Check</t>
  </si>
  <si>
    <t>Status</t>
  </si>
  <si>
    <t>FTE link populated</t>
  </si>
  <si>
    <t>Scope link</t>
  </si>
  <si>
    <t>Annual labor hours populated</t>
  </si>
  <si>
    <t>Hourly cost available</t>
  </si>
  <si>
    <t>Operations feed</t>
  </si>
  <si>
    <t>This replacement module annualizes uniforms, duty gear, devices, ID issue, and consumables, then converts the total into a cost per labor hour for the Operations tab.</t>
  </si>
  <si>
    <t>GASQ Operations &amp; Contract Support</t>
  </si>
  <si>
    <t>Recruiting / Hiring</t>
  </si>
  <si>
    <t>Training / Certification</t>
  </si>
  <si>
    <t>Uniforms / Equipment</t>
  </si>
  <si>
    <t>Field Supervision</t>
  </si>
  <si>
    <t>Contract Management</t>
  </si>
  <si>
    <t>Quality Assurance</t>
  </si>
  <si>
    <t>Vehicles / Patrol</t>
  </si>
  <si>
    <t>Technology / Systems</t>
  </si>
  <si>
    <t>General Liability Insurance</t>
  </si>
  <si>
    <t>Umbrella / Other Insurance</t>
  </si>
  <si>
    <t>Total Operations / Support</t>
  </si>
  <si>
    <t>Uses the GASQ labor-share framework to translate direct labor into government TCO and capital recovery savings.</t>
  </si>
  <si>
    <t>Government TCO Formula Engine</t>
  </si>
  <si>
    <t xml:space="preserve">Blended Direct Labor Wage / Pay Rate </t>
  </si>
  <si>
    <t xml:space="preserve">Full Burdened Hourly Cost </t>
  </si>
  <si>
    <t>Annual Workforce Hours Basis</t>
  </si>
  <si>
    <t>Annual Workforce Cost</t>
  </si>
  <si>
    <t>Government TCO per Productive Coverage Hour</t>
  </si>
  <si>
    <t xml:space="preserve">Vendor Rate </t>
  </si>
  <si>
    <t>Capital Recovery Saved per Hour</t>
  </si>
  <si>
    <t xml:space="preserve">Annual Coverage Hours Required </t>
  </si>
  <si>
    <t>Annual Government Cost for Required Coverage</t>
  </si>
  <si>
    <t>Annual Vendor Cost for Required Coverage</t>
  </si>
  <si>
    <t>Workforce-to-Post Metrics</t>
  </si>
  <si>
    <t>Annual Capital Recovery Saved</t>
  </si>
  <si>
    <t>Direct Labor to Government TCO Multiplier</t>
  </si>
  <si>
    <t>Direct Labor to Vendor Rate Multiplier</t>
  </si>
  <si>
    <t>This tab uses Total Direct Labor from Direct_Labor!C8, then forces burden to a 70/30 labor-share model.</t>
  </si>
  <si>
    <t>Automatic Burden Allocation (forced to 30% of total cost)</t>
  </si>
  <si>
    <t>Raw Weight</t>
  </si>
  <si>
    <t>Normalized Share</t>
  </si>
  <si>
    <t>Hourly Burden</t>
  </si>
  <si>
    <t>Annual Burden</t>
  </si>
  <si>
    <t>Health &amp; Welfare proxy</t>
  </si>
  <si>
    <t>Administrative / HR / Payroll</t>
  </si>
  <si>
    <t>Insurance / Misc.</t>
  </si>
  <si>
    <t>Total raw weight</t>
  </si>
  <si>
    <t>Total burden dollars to allocate</t>
  </si>
  <si>
    <t>Allocated burden check</t>
  </si>
  <si>
    <t>Difference (should be 0)</t>
  </si>
  <si>
    <t>Important</t>
  </si>
  <si>
    <t>If labor is 70% of total cost, the burden add-on equals 30% of total cost, which is 42.857% of direct labor.</t>
  </si>
  <si>
    <t>GASQ Vendor Pricing Guardrails</t>
  </si>
  <si>
    <t>Rates benchmarked to GASQ government TCO, vendor TCO, floor, and target guardrails.</t>
  </si>
  <si>
    <t>Pricing Model</t>
  </si>
  <si>
    <t>Vendor TCO Rate (= Government TCO x Vendor TCO Factor)</t>
  </si>
  <si>
    <t>Vendor Absorbed Floor Rate (= Vendor TCO x Floor Factor)</t>
  </si>
  <si>
    <t>Vendor Target Rate</t>
  </si>
  <si>
    <t>Vendor Ceiling Rate (= Vendor TCO)</t>
  </si>
  <si>
    <t>Blended Actual Bill Rate from Post_Positions</t>
  </si>
  <si>
    <t>Vendor Evaluation Inputs</t>
  </si>
  <si>
    <t>Vendor</t>
  </si>
  <si>
    <t>Bid Rate</t>
  </si>
  <si>
    <t>Vendor Weekly Hours Billed</t>
  </si>
  <si>
    <t>Floor Eligible?</t>
  </si>
  <si>
    <t>Range Position</t>
  </si>
  <si>
    <t>Initial Interpretation</t>
  </si>
  <si>
    <t>Vendor 1</t>
  </si>
  <si>
    <t>Vendor 2</t>
  </si>
  <si>
    <t>Vendor 3</t>
  </si>
  <si>
    <t>Vendor 4</t>
  </si>
  <si>
    <t>Vendor 5</t>
  </si>
  <si>
    <t>GASQ Overhead, G&amp;A, and Profit</t>
  </si>
  <si>
    <t>Accounting / Legal</t>
  </si>
  <si>
    <t>Corporate Overhead</t>
  </si>
  <si>
    <t>G&amp;A</t>
  </si>
  <si>
    <t>Profit / Fee</t>
  </si>
  <si>
    <t>Total Overhead / G&amp;A / Profit</t>
  </si>
  <si>
    <t>GASQ Price Realism Review</t>
  </si>
  <si>
    <t>Benchmark Rates</t>
  </si>
  <si>
    <t>Government TCO Benchmark</t>
  </si>
  <si>
    <t>Vendor Absorbed Floor</t>
  </si>
  <si>
    <t>Vendor Ceiling Rate</t>
  </si>
  <si>
    <t>Evaluation Grid</t>
  </si>
  <si>
    <t>Delta vs Gov TCO</t>
  </si>
  <si>
    <t>Delta %</t>
  </si>
  <si>
    <t>Benchmark Position</t>
  </si>
  <si>
    <t>Recommendation</t>
  </si>
  <si>
    <t>Typical Federal-Style Logic</t>
  </si>
  <si>
    <t>Below floor suggests performance risk. Bids within target/ceiling range are generally the most defensible.</t>
  </si>
  <si>
    <t>GASQ Buyer vs Vendor Price Comparison</t>
  </si>
  <si>
    <t>Core Pricing Comparison</t>
  </si>
  <si>
    <t>Buyer / Government</t>
  </si>
  <si>
    <t>Vendor TCO</t>
  </si>
  <si>
    <t>Vendor Target</t>
  </si>
  <si>
    <t>Vendor Floor</t>
  </si>
  <si>
    <t>Rate per Productive Coverage Hour</t>
  </si>
  <si>
    <t>Annual Total Cost</t>
  </si>
  <si>
    <t>Hourly Savings vs Buyer</t>
  </si>
  <si>
    <t>-</t>
  </si>
  <si>
    <t>Savings % vs Buyer</t>
  </si>
  <si>
    <t>Capital Recovery Highlight</t>
  </si>
  <si>
    <t>Comparison Point</t>
  </si>
  <si>
    <t>Formula Output</t>
  </si>
  <si>
    <t>Buyer Government TCO Rate</t>
  </si>
  <si>
    <t>Vendor TCO Rate</t>
  </si>
  <si>
    <t>Capital Recovery Savings %</t>
  </si>
  <si>
    <t>Buyer-to-Vendor Cost Comparison</t>
  </si>
  <si>
    <t>Buyer annual in-house/government-equivalent cost</t>
  </si>
  <si>
    <t>Vendor annual cost at TCO rate</t>
  </si>
  <si>
    <t>Vendor annual cost at target rate</t>
  </si>
  <si>
    <t>Vendor annual cost at floor rate</t>
  </si>
  <si>
    <t>Best annual capital recovery using vendor floor</t>
  </si>
  <si>
    <t>This worksheet provides a side-by-side price comparison between the buyer's government-style TCO and vendor pricing, including capital recovery saved.</t>
  </si>
  <si>
    <t>GASQ Executive Summary</t>
  </si>
  <si>
    <t>GASQ brand refresh | TCO + Capital Recovery model | formulas reviewed and corrected</t>
  </si>
  <si>
    <t>Key Outputs</t>
  </si>
  <si>
    <t>Annual Government Cost</t>
  </si>
  <si>
    <t>Annual Uniform &amp; Equipment Cost</t>
  </si>
  <si>
    <t>Vendor Floor Rate</t>
  </si>
  <si>
    <t>Capital Recovery per Hour</t>
  </si>
  <si>
    <t>Annual Capital Recovery</t>
  </si>
  <si>
    <t>Annual Vehicle Cost</t>
  </si>
  <si>
    <t>Annual Capital Recovery Saved (Vendor TCO)</t>
  </si>
  <si>
    <t>Model Checks &amp; Cross-References</t>
  </si>
  <si>
    <t>Buyer vs Vendor Comparison</t>
  </si>
  <si>
    <t>Vendor TCO Annual Savings</t>
  </si>
  <si>
    <t>Vendor Target Annual Savings</t>
  </si>
  <si>
    <t>Vendor Floor Annual Savings</t>
  </si>
  <si>
    <t>Burden Build</t>
  </si>
  <si>
    <t>Burden Check</t>
  </si>
  <si>
    <t>GASQ Workforce-to-Post™ Capital Recovery Contract Summary</t>
  </si>
  <si>
    <t>Executive contract summary with TCO, pricing guardrails, and capital recovery outputs</t>
  </si>
  <si>
    <t>CONFIDENTIAL</t>
  </si>
  <si>
    <t>Contract Economics</t>
  </si>
  <si>
    <t>Weekly Billings (excluding holiday billings)</t>
  </si>
  <si>
    <t>Blended Straight Time Pay Rate</t>
  </si>
  <si>
    <t>Blended Straight Time Bill Rate</t>
  </si>
  <si>
    <t>Overtime Bill Rate</t>
  </si>
  <si>
    <t>Holiday Bill Rate</t>
  </si>
  <si>
    <t>Effective Pay Rate</t>
  </si>
  <si>
    <t>Effective Bill Rate</t>
  </si>
  <si>
    <t>Effective Direct Labor Ratio</t>
  </si>
  <si>
    <t>Effective Markup</t>
  </si>
  <si>
    <t>Revenue &amp; Cost Summary</t>
  </si>
  <si>
    <t>Total Annual Revenue (from hourly billings) *</t>
  </si>
  <si>
    <t>Vehicle and Other Pass Through Billings</t>
  </si>
  <si>
    <t>Total Annual Contract Revenue *</t>
  </si>
  <si>
    <t>Direct Expense</t>
  </si>
  <si>
    <t>Vehicle and Other Pass Through Costs</t>
  </si>
  <si>
    <t>Total Annual Costs *</t>
  </si>
  <si>
    <t>Contributory Profit</t>
  </si>
  <si>
    <t>Profit as a % of Revenue</t>
  </si>
  <si>
    <t>Contributory Profit Per Hour</t>
  </si>
  <si>
    <t>Working Capital Requirement</t>
  </si>
  <si>
    <t>Payback &amp; Recovery Period (months)</t>
  </si>
  <si>
    <t>GASQ Capital Recovery</t>
  </si>
  <si>
    <t>Vendor True Cost of Ownership Rate</t>
  </si>
  <si>
    <t>Vendor Absorbed Floor Rate</t>
  </si>
  <si>
    <t>Guardrails &amp; Rating</t>
  </si>
  <si>
    <t>Current Weekly Hours Eligibility Status</t>
  </si>
  <si>
    <t>Target Position within Floor-to-Ceiling Range</t>
  </si>
  <si>
    <t>GASQ Cost Rating Grade</t>
  </si>
  <si>
    <t>* Total contract amounts shown assume the current annual coverage requirement from the GASQ model. Modify Scope_of_Work inputs to update automatically.</t>
  </si>
  <si>
    <t>GASQ Workforce-to-Post™ Capital Recovery Appraisal Full Scope Report</t>
  </si>
  <si>
    <t>Workforce Total Cost of Ownership (TCO) -vs- Vendor Outsourced Security Services</t>
  </si>
  <si>
    <t>Prepared for: Jessie Gibbs - TACTICAL ELITE PROTECTIVE SERVICE</t>
  </si>
  <si>
    <t>Appraisal Comparison Summary</t>
  </si>
  <si>
    <t>DESCRIPTION</t>
  </si>
  <si>
    <t>TOTAL BUYER WORKFORCE
COST OF OWNERSHIP</t>
  </si>
  <si>
    <t>TOTAL VENDOR OUTSOURCED
COST OF OWNERSHIP</t>
  </si>
  <si>
    <t>DIFFERENCE
SAVED</t>
  </si>
  <si>
    <t>Workforce Baseline Assumption Labor Rate</t>
  </si>
  <si>
    <t>Workforce Hourly Cost Per Security Professional</t>
  </si>
  <si>
    <t>Overtime/Holiday Rate</t>
  </si>
  <si>
    <t>Workforce Annual Cost per Security Professional</t>
  </si>
  <si>
    <t>Total Weekly Hours of Coverage</t>
  </si>
  <si>
    <t>Total Monthly Hours of Coverage</t>
  </si>
  <si>
    <t>Total Annual Hours of Coverage</t>
  </si>
  <si>
    <t>Total Weeks of Coverage</t>
  </si>
  <si>
    <t>Total Months of Coverage</t>
  </si>
  <si>
    <t>Total Workforce Required for Coverage</t>
  </si>
  <si>
    <t>Total Weekly Cost</t>
  </si>
  <si>
    <t>Total Monthly Cost</t>
  </si>
  <si>
    <t>Total Annual Cost</t>
  </si>
  <si>
    <t>Operational Capital Recovered</t>
  </si>
  <si>
    <t>Operational Capital Recovered (%)</t>
  </si>
  <si>
    <t>Payback &amp; Recovery Period</t>
  </si>
  <si>
    <t>Coverage Statement</t>
  </si>
  <si>
    <t>All price calculations include the full cost of workforce staffing and support services, including but not limited to: livable base wages, employer-paid payroll taxes (FICA, FUTA, SUTA), workers’ compensation, general liability insurance, unemployment insurance, paid time off, healthcare and fringe benefits, uniforms and equipment, onboarding and training, site supervision, quality assurance oversight, management and administrative support, 24/7 dispatch capability, compliance with local, state, and federal labor laws, and all service-level guarantees (including open post protection, vendor replacement, and price lock guarantees) unless otherwise specified.</t>
  </si>
  <si>
    <t>"CFO Tested. CFO Approved"</t>
  </si>
  <si>
    <t>(470) 633-2816 | info@getasecurityquote.com | getasecurityquotenow.com</t>
  </si>
  <si>
    <t>Key Components of the GetASecurityQuote Security Capital Recovery Report</t>
  </si>
  <si>
    <t>Direct Labor Costs</t>
  </si>
  <si>
    <t>• Wages: Hourly pay for each guard (based on market, union scale, or livable wage rates)</t>
  </si>
  <si>
    <t>• Overtime: If scheduling exceeds 40 hours/week per guard or during holidays</t>
  </si>
  <si>
    <t>• Paid Non-Worked Hours: Includes holidays, sick leave, vacation, training</t>
  </si>
  <si>
    <t>Mandatory Payroll Burden</t>
  </si>
  <si>
    <t>• Employer Taxes: FICA, FUTA, SUTA, Medicare</t>
  </si>
  <si>
    <t>• Workers’ Compensation Insurance: Risk-rated by job classification (high for security)</t>
  </si>
  <si>
    <t>• Unemployment Insurance</t>
  </si>
  <si>
    <t>• General Liability Insurance</t>
  </si>
  <si>
    <t>Employee Benefits</t>
  </si>
  <si>
    <t>• Health Insurance</t>
  </si>
  <si>
    <t>• Retirement Contributions (401k, pensions)</t>
  </si>
  <si>
    <t>• Life &amp; Disability Insurance</t>
  </si>
  <si>
    <t>• Uniforms &amp; Equipment</t>
  </si>
  <si>
    <t>• Background Checks, Drug Screening, Licensing Fees</t>
  </si>
  <si>
    <t>Mandatory Insurance &amp; Statutory Coverage</t>
  </si>
  <si>
    <t>• Workman’s Compensation Insurance</t>
  </si>
  <si>
    <t>• Paid sick leave</t>
  </si>
  <si>
    <t>• General liability insurance</t>
  </si>
  <si>
    <t>Supervision &amp; Management</t>
  </si>
  <si>
    <t>• Field Supervisors or Account Managers</t>
  </si>
  <si>
    <t>• Scheduling &amp; Admin Staff</t>
  </si>
  <si>
    <t>• On-call Management Support</t>
  </si>
  <si>
    <t>Workforce Maintenance Cost</t>
  </si>
  <si>
    <t>• Recruiting, Hiring, and Turnover Costs</t>
  </si>
  <si>
    <t>• Training (initial + recurring)</t>
  </si>
  <si>
    <t>• Vehicles (if patrol is required)</t>
  </si>
  <si>
    <t>• Office Space, Software, Timekeeping Systems</t>
  </si>
  <si>
    <t>Risk &amp; Liability Exposure</t>
  </si>
  <si>
    <t>• Legal &amp; HR Costs for employee discipline or claims</t>
  </si>
  <si>
    <t>• Potential for coverage gaps or untrained guards on post</t>
  </si>
  <si>
    <t>Additional Information</t>
  </si>
  <si>
    <t>Additional Email or Vendor Name:</t>
  </si>
  <si>
    <t>Company:</t>
  </si>
  <si>
    <t>Email:</t>
  </si>
  <si>
    <t>Additional Information:</t>
  </si>
  <si>
    <t>Notes:</t>
  </si>
  <si>
    <t>Training Description</t>
  </si>
  <si>
    <t>Hours</t>
  </si>
  <si>
    <t>Training Wage</t>
  </si>
  <si>
    <t>Training Cost Per Hour</t>
  </si>
  <si>
    <t>Employees Trained</t>
  </si>
  <si>
    <t>Instructor Cost</t>
  </si>
  <si>
    <t>Equipment Cost</t>
  </si>
  <si>
    <t>Certification Fee</t>
  </si>
  <si>
    <t>Travel Cost</t>
  </si>
  <si>
    <t>Total Training Cost</t>
  </si>
  <si>
    <t>CPR / First Aid / AED</t>
  </si>
  <si>
    <t>Pre‑Assignment Training</t>
  </si>
  <si>
    <t>Field Training</t>
  </si>
  <si>
    <t>Weapons Training</t>
  </si>
  <si>
    <t>Site Specific Training</t>
  </si>
  <si>
    <t>Supervisor Training</t>
  </si>
  <si>
    <t>Annual Refresher</t>
  </si>
  <si>
    <t>Item</t>
  </si>
  <si>
    <t>Cost Per Unit</t>
  </si>
  <si>
    <t>Quantity</t>
  </si>
  <si>
    <t>Replacement Cycle (Years)</t>
  </si>
  <si>
    <t>Annualized Cost</t>
  </si>
  <si>
    <t>Uniform</t>
  </si>
  <si>
    <t>Radio</t>
  </si>
  <si>
    <t>Body Armor</t>
  </si>
  <si>
    <t>Flashlight</t>
  </si>
  <si>
    <t>Duty Belt</t>
  </si>
  <si>
    <t>Total Annual Equipment Cost</t>
  </si>
  <si>
    <t>Category</t>
  </si>
  <si>
    <t>Days/Hours</t>
  </si>
  <si>
    <t>Employees</t>
  </si>
  <si>
    <t>Cost Per Hour</t>
  </si>
  <si>
    <t>Total Cost</t>
  </si>
  <si>
    <t>Vacation Days</t>
  </si>
  <si>
    <t>Sick Days</t>
  </si>
  <si>
    <t>Holiday Pay</t>
  </si>
  <si>
    <t>Turnover Replacement</t>
  </si>
  <si>
    <t>Total Workforce Maintenance Cost</t>
  </si>
  <si>
    <t>Cost Category</t>
  </si>
  <si>
    <t>Input</t>
  </si>
  <si>
    <t>Formula / Notes</t>
  </si>
  <si>
    <t>Direct Labor Rate</t>
  </si>
  <si>
    <t>User Input</t>
  </si>
  <si>
    <t>Burden Build Up</t>
  </si>
  <si>
    <t>Linked from Workforce_Maintenance_Module</t>
  </si>
  <si>
    <t>Linked from Training_Module</t>
  </si>
  <si>
    <t>Linked from Equipment_Uniform_Module</t>
  </si>
  <si>
    <t>Total Estimated Cost</t>
  </si>
  <si>
    <t>GASQ Workforce-to-Post™ Calculator</t>
  </si>
  <si>
    <t>Calculates productive coverage, workforce basis, unavailable hours, and relief factor from the active post roster.</t>
  </si>
  <si>
    <t>Weekly Coverage Hours</t>
  </si>
  <si>
    <t>Interpretation</t>
  </si>
  <si>
    <t>Coverage hours entered by roster or scope.</t>
  </si>
  <si>
    <t>Standard Paid Hours per FTE</t>
  </si>
  <si>
    <t>Coverage hours multiplied by 52 weeks.</t>
  </si>
  <si>
    <t>Relief Factor (Workforce Basis ÷ Productive Basis)</t>
  </si>
  <si>
    <t>Paid hours per FTE basis used by vendor model.</t>
  </si>
  <si>
    <t>Productive FTEs Required</t>
  </si>
  <si>
    <t>Shows productivity loss between coverage and workforce basis.</t>
  </si>
  <si>
    <t>Paid Workforce FTEs Required</t>
  </si>
  <si>
    <t>Bare-minimum productive staffing requirement.</t>
  </si>
  <si>
    <t>Paid headcount needed to support relief.</t>
  </si>
  <si>
    <t>Unavailable Hours per FTE</t>
  </si>
  <si>
    <t>Government-style workforce basis used in model.</t>
  </si>
  <si>
    <t>Unavailable Hours Workforce Cost Basis</t>
  </si>
  <si>
    <t>Hours paid but not worked per FTE.</t>
  </si>
  <si>
    <t>Blended Pay Rate</t>
  </si>
  <si>
    <t>Total unavailable paid hours across the workforce.</t>
  </si>
  <si>
    <t>Unavailable Hours Workforce Cost</t>
  </si>
  <si>
    <t>Active weighted pay rate from roster.</t>
  </si>
  <si>
    <t>Training Cost Annual</t>
  </si>
  <si>
    <t>Dollar cost of unavailable paid hours.</t>
  </si>
  <si>
    <t>Equipment / Uniform Annual</t>
  </si>
  <si>
    <t>Workforce Maintenance Annual</t>
  </si>
  <si>
    <t>Total Hidden Workforce Cost</t>
  </si>
  <si>
    <t>GASQ Capital Recovery Dashboard</t>
  </si>
  <si>
    <t>Single-page dashboard for Security Cost Rating, Capital Recovery Receipt, Vendor Price Evaluation, and IGCE comparison.</t>
  </si>
  <si>
    <t>KPI</t>
  </si>
  <si>
    <t>Security Cost Rating</t>
  </si>
  <si>
    <t>Vendor Price Evaluation</t>
  </si>
  <si>
    <t>Actual Rate Position</t>
  </si>
  <si>
    <t>Scenario</t>
  </si>
  <si>
    <t>Rate</t>
  </si>
  <si>
    <t>Government TCO / Hr</t>
  </si>
  <si>
    <t>SCRS Grade</t>
  </si>
  <si>
    <t>Below Floor</t>
  </si>
  <si>
    <t>Unrealistic / high risk</t>
  </si>
  <si>
    <t>Vendor TCO / Hr</t>
  </si>
  <si>
    <t>Floor to Target</t>
  </si>
  <si>
    <t>Best value</t>
  </si>
  <si>
    <t>Actual Bill Rate / Hr</t>
  </si>
  <si>
    <t>Target to Ceiling</t>
  </si>
  <si>
    <t>Acceptable</t>
  </si>
  <si>
    <t>Comparison</t>
  </si>
  <si>
    <t>Above Ceiling</t>
  </si>
  <si>
    <t>Likely overpriced</t>
  </si>
  <si>
    <t>Annual Actual Vendor Cost</t>
  </si>
  <si>
    <t>IGCE Total Estimated Cost</t>
  </si>
  <si>
    <t>Actual Blended Rate</t>
  </si>
  <si>
    <t>Annual Capital Recovered</t>
  </si>
  <si>
    <t>Training Annual</t>
  </si>
  <si>
    <t>Capital Recovery %</t>
  </si>
  <si>
    <t>Equipment Annual</t>
  </si>
  <si>
    <t>Hidden Workforce Cost Total</t>
  </si>
  <si>
    <t>GASQ Security Cost Rating Report™</t>
  </si>
  <si>
    <t>Automated grading of the active roster rate against floor, target, and ceiling guardrails.</t>
  </si>
  <si>
    <t>Government-style TCO per productive hour.</t>
  </si>
  <si>
    <t>Minimum sustainable absorbed floor.</t>
  </si>
  <si>
    <t>Preferred best-value band midpoint.</t>
  </si>
  <si>
    <t>Vendor Ceiling</t>
  </si>
  <si>
    <t>Upper sustainable range benchmark.</t>
  </si>
  <si>
    <t>Actual Blended Bill Rate</t>
  </si>
  <si>
    <t>Current blended rate from roster if active.</t>
  </si>
  <si>
    <t>Delta vs Target</t>
  </si>
  <si>
    <t>Security Cost Position</t>
  </si>
  <si>
    <t>Used for grade logic.</t>
  </si>
  <si>
    <t>A = best value; D = high risk underbid.</t>
  </si>
  <si>
    <t>Executive Recommendation</t>
  </si>
  <si>
    <t>GASQ Capital Recovery Receipt™</t>
  </si>
  <si>
    <t>Point-of-sale style summary of annual and hourly economics for buyer-facing review.</t>
  </si>
  <si>
    <t>Government View</t>
  </si>
  <si>
    <t>Vendor / GASQ View</t>
  </si>
  <si>
    <t>Receipt Notes</t>
  </si>
  <si>
    <t>Coverage Hours (Annual)</t>
  </si>
  <si>
    <t>Shows the government benchmark and GASQ alternative side by side.</t>
  </si>
  <si>
    <t>Hourly Rate</t>
  </si>
  <si>
    <t>Vendor/GASQ view uses active blended roster rate when available.</t>
  </si>
  <si>
    <t>Annual Cost</t>
  </si>
  <si>
    <t>All-in annual view includes recurring training, maintenance, and equipment.</t>
  </si>
  <si>
    <t>Capital recovered = benchmark all-in annual cost less GASQ all-in annual cost.</t>
  </si>
  <si>
    <t>Use this sheet as the buyer-safe summary.</t>
  </si>
  <si>
    <t>All-In Annual View</t>
  </si>
  <si>
    <t>Capital Recovered ($)</t>
  </si>
  <si>
    <t>Capital Recovered (%)</t>
  </si>
  <si>
    <t>GASQ Vendor Price Evaluation</t>
  </si>
  <si>
    <t>Evaluates sample and actual rates against the floor, target, and ceiling bands.</t>
  </si>
  <si>
    <t>Vendor / Scenario</t>
  </si>
  <si>
    <t>Band</t>
  </si>
  <si>
    <t>Absorbed Floor</t>
  </si>
  <si>
    <t>Target</t>
  </si>
  <si>
    <t>Ceiling</t>
  </si>
  <si>
    <t>GASQ Government IGCE Comparison</t>
  </si>
  <si>
    <t>Compares the government-style estimate to the active GASQ roster-driven model.</t>
  </si>
  <si>
    <t>Cost Component</t>
  </si>
  <si>
    <t>Government IGCE</t>
  </si>
  <si>
    <t>GASQ Active Model</t>
  </si>
  <si>
    <t>Variance</t>
  </si>
  <si>
    <t>Variance %</t>
  </si>
  <si>
    <t>Direct Labor Build-Up</t>
  </si>
  <si>
    <t>Government direct labor build-up vs annual workforce cost.</t>
  </si>
  <si>
    <t>Training</t>
  </si>
  <si>
    <t>Training recurring annual cost.</t>
  </si>
  <si>
    <t>Workforce Maintenance</t>
  </si>
  <si>
    <t>Paid time not worked, turnover, and support labor.</t>
  </si>
  <si>
    <t>Equipment / Uniform</t>
  </si>
  <si>
    <t>Uniform, radios, armor, and other annualized gear.</t>
  </si>
  <si>
    <t>Total Estimate</t>
  </si>
  <si>
    <t>Top-line comparison of estimate frameworks.</t>
  </si>
  <si>
    <t>GASQ Security Cost Dashboard</t>
  </si>
  <si>
    <t>Cost Comparison</t>
  </si>
  <si>
    <t>Amount</t>
  </si>
  <si>
    <t>In-House TCO</t>
  </si>
  <si>
    <t>Outsourced TCO</t>
  </si>
  <si>
    <t>Capital Recovered</t>
  </si>
  <si>
    <t>Cost Breakdown</t>
  </si>
  <si>
    <t>Cost</t>
  </si>
  <si>
    <t>Direct Labor</t>
  </si>
  <si>
    <t>Employer Burden</t>
  </si>
  <si>
    <t>Equipment</t>
  </si>
  <si>
    <t>Admin</t>
  </si>
  <si>
    <t>Range</t>
  </si>
  <si>
    <t>Floor</t>
  </si>
  <si>
    <t>Capital Recovery Timeline</t>
  </si>
  <si>
    <t>Month</t>
  </si>
  <si>
    <t>Savings</t>
  </si>
  <si>
    <t>GASQ Advanced Analytics Dashboard</t>
  </si>
  <si>
    <t>Workforce Efficiency</t>
  </si>
  <si>
    <t>Hours Worked</t>
  </si>
  <si>
    <t>Paid Not Worked</t>
  </si>
  <si>
    <t>Training Hours</t>
  </si>
  <si>
    <t>Post Cost Distribution</t>
  </si>
  <si>
    <t>Labor</t>
  </si>
  <si>
    <t>Gate</t>
  </si>
  <si>
    <t>Patrol</t>
  </si>
  <si>
    <t>Supervisor</t>
  </si>
  <si>
    <t>Capital Recovery Gauge</t>
  </si>
  <si>
    <t>Recovered</t>
  </si>
  <si>
    <t>Remaining</t>
  </si>
  <si>
    <t>OT/Holiday Premium %</t>
  </si>
  <si>
    <t>Government /Customer TCO per  Hour</t>
  </si>
  <si>
    <t>Annual Total Cost of Ownership</t>
  </si>
  <si>
    <t>GASQ Should-Cost  TCO &amp; Capital Recovery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</si>
</sst>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00;[Red]&quot;($&quot;#,##0.00\);\-"/>
    <numFmt numFmtId="165" formatCode="#,##0;[Red]\(#,##0\);\-"/>
    <numFmt numFmtId="166" formatCode="0.0%;[Red]\(0.0%\);\-"/>
    <numFmt numFmtId="167" formatCode="0.000"/>
    <numFmt numFmtId="168" formatCode="#,##0.0;[Red]\(#,##0.0\);\-"/>
    <numFmt numFmtId="169" formatCode="\$#,##0.00_);[Red]&quot;($&quot;#,##0.00\)"/>
    <numFmt numFmtId="170" formatCode="#,##0.00;[Red]\(#,##0.00\);\-"/>
    <numFmt numFmtId="171" formatCode="\$#,##0.00"/>
    <numFmt numFmtId="172" formatCode="0.00\x;[Red]\(0.00&quot;x)&quot;;\-"/>
    <numFmt numFmtId="173" formatCode="\$#,##0;[Red]&quot;($&quot;#,##0\);\-"/>
    <numFmt numFmtId="174" formatCode="0.0;[Red]\(0.0\);\-"/>
    <numFmt numFmtId="175" formatCode="0.0\x;[Red]\(0.0&quot;x)&quot;;\-"/>
    <numFmt numFmtId="176" formatCode="&quot;$&quot;#,##0.00"/>
    <numFmt numFmtId="177" formatCode="#,##0.0_);[Red]\(#,##0.0\);\-"/>
    <numFmt numFmtId="178" formatCode="\$#,##0.00;[Red]\(\$#,##0.00\);\-"/>
    <numFmt numFmtId="179" formatCode="0%;[Red]\(0%\);\-"/>
    <numFmt numFmtId="180" formatCode="0\ &quot;months&quot;"/>
    <numFmt numFmtId="181" formatCode="_(\$* #,##0.00_);_(\$* \(#,##0.00\);_(\$* \-??_);_(@_)"/>
  </numFmts>
  <fonts count="44" x14ac:knownFonts="1">
    <font>
      <sz val="10"/>
      <name val="Arial"/>
      <family val="2"/>
    </font>
    <font>
      <sz val="10"/>
      <name val="Arial"/>
      <family val="2"/>
    </font>
    <font>
      <sz val="10"/>
      <name val="Arial"/>
      <family val="2"/>
    </font>
    <font>
      <sz val="11"/>
      <color theme="1"/>
      <name val="Calibri"/>
      <family val="2"/>
    </font>
    <font>
      <b/>
      <sz val="14"/>
      <color rgb="FFFFFFFF"/>
      <name val="Aptos"/>
      <family val="2"/>
    </font>
    <font>
      <sz val="10"/>
      <color rgb="FF173F6D"/>
      <name val="Aptos"/>
      <family val="2"/>
    </font>
    <font>
      <b/>
      <sz val="11"/>
      <color rgb="FF173F6D"/>
      <name val="Aptos"/>
      <family val="2"/>
    </font>
    <font>
      <sz val="10"/>
      <color rgb="FF000000"/>
      <name val="Aptos"/>
      <family val="2"/>
    </font>
    <font>
      <sz val="10"/>
      <color rgb="FF0000FF"/>
      <name val="Aptos"/>
      <family val="2"/>
    </font>
    <font>
      <sz val="10"/>
      <color rgb="FF008000"/>
      <name val="Aptos"/>
      <family val="2"/>
    </font>
    <font>
      <b/>
      <sz val="10"/>
      <color rgb="FF173F6D"/>
      <name val="Aptos"/>
      <family val="2"/>
    </font>
    <font>
      <b/>
      <sz val="10"/>
      <color rgb="FF000000"/>
      <name val="Aptos"/>
      <family val="2"/>
    </font>
    <font>
      <b/>
      <sz val="12"/>
      <color rgb="FFFFFFFF"/>
      <name val="Arial"/>
      <family val="2"/>
    </font>
    <font>
      <sz val="10"/>
      <color rgb="FF173F6D"/>
      <name val="Arial"/>
      <family val="2"/>
    </font>
    <font>
      <b/>
      <sz val="10"/>
      <color rgb="FF000000"/>
      <name val="Arial"/>
      <family val="2"/>
    </font>
    <font>
      <sz val="10"/>
      <color rgb="FF008000"/>
      <name val="Arial"/>
      <family val="2"/>
    </font>
    <font>
      <sz val="10"/>
      <color rgb="FF000000"/>
      <name val="Arial"/>
      <family val="2"/>
    </font>
    <font>
      <i/>
      <sz val="9"/>
      <color rgb="FF173F6D"/>
      <name val="Arial"/>
      <family val="2"/>
    </font>
    <font>
      <b/>
      <sz val="10"/>
      <color rgb="FF173F6D"/>
      <name val="Arial"/>
      <family val="2"/>
    </font>
    <font>
      <sz val="11"/>
      <name val="Cambria"/>
      <family val="1"/>
    </font>
    <font>
      <sz val="9"/>
      <color rgb="FF000000"/>
      <name val="Aptos"/>
      <family val="2"/>
    </font>
    <font>
      <b/>
      <sz val="11"/>
      <name val="Cambria"/>
      <family val="1"/>
    </font>
    <font>
      <b/>
      <sz val="10"/>
      <color rgb="FFFF0000"/>
      <name val="Aptos"/>
      <family val="2"/>
    </font>
    <font>
      <b/>
      <sz val="10"/>
      <color rgb="FF00B0F0"/>
      <name val="Aptos"/>
      <family val="2"/>
    </font>
    <font>
      <b/>
      <sz val="16"/>
      <color rgb="FFFFFFFF"/>
      <name val="Aptos"/>
      <family val="2"/>
    </font>
    <font>
      <b/>
      <i/>
      <sz val="12"/>
      <color rgb="FFFFFFFF"/>
      <name val="Aptos"/>
      <family val="2"/>
    </font>
    <font>
      <b/>
      <sz val="15"/>
      <color rgb="FFFF0000"/>
      <name val="Aptos"/>
      <family val="2"/>
    </font>
    <font>
      <b/>
      <sz val="11"/>
      <color rgb="FFFFFFFF"/>
      <name val="Aptos"/>
      <family val="2"/>
    </font>
    <font>
      <b/>
      <i/>
      <sz val="11"/>
      <color rgb="FF000000"/>
      <name val="Aptos"/>
      <family val="2"/>
    </font>
    <font>
      <b/>
      <sz val="11"/>
      <color rgb="FF000000"/>
      <name val="Aptos"/>
      <family val="2"/>
    </font>
    <font>
      <b/>
      <i/>
      <sz val="11"/>
      <name val="Aptos"/>
      <family val="2"/>
    </font>
    <font>
      <b/>
      <sz val="11"/>
      <name val="Aptos"/>
      <family val="2"/>
    </font>
    <font>
      <i/>
      <sz val="9"/>
      <color rgb="FF666666"/>
      <name val="Aptos"/>
      <family val="2"/>
    </font>
    <font>
      <b/>
      <sz val="14"/>
      <color rgb="FFFFFFFF"/>
      <name val="Arial"/>
      <family val="2"/>
    </font>
    <font>
      <i/>
      <sz val="10"/>
      <color rgb="FF666666"/>
      <name val="Arial"/>
      <family val="2"/>
    </font>
    <font>
      <b/>
      <sz val="10"/>
      <name val="Arial"/>
      <family val="2"/>
    </font>
    <font>
      <b/>
      <sz val="16"/>
      <name val="Arial"/>
      <family val="2"/>
    </font>
    <font>
      <b/>
      <sz val="14"/>
      <name val="Arial"/>
      <family val="2"/>
    </font>
    <font>
      <b/>
      <sz val="11"/>
      <color theme="1"/>
      <name val="Calibri"/>
      <family val="2"/>
    </font>
    <font>
      <b/>
      <sz val="9"/>
      <color rgb="FF000000"/>
      <name val="Aptos"/>
      <family val="2"/>
    </font>
    <font>
      <b/>
      <i/>
      <sz val="11"/>
      <color rgb="FF000000"/>
      <name val="Aptos"/>
      <family val="2"/>
    </font>
    <font>
      <b/>
      <sz val="11"/>
      <color rgb="FF000000"/>
      <name val="Aptos"/>
      <family val="2"/>
    </font>
    <font>
      <sz val="10"/>
      <color rgb="FF000000"/>
      <name val="Aptos"/>
      <family val="2"/>
    </font>
    <font>
      <b/>
      <sz val="10"/>
      <color rgb="FF000000"/>
      <name val="Aptos"/>
      <family val="2"/>
    </font>
  </fonts>
  <fills count="27">
    <fill>
      <patternFill patternType="none"/>
    </fill>
    <fill>
      <patternFill patternType="gray125"/>
    </fill>
    <fill>
      <patternFill patternType="solid">
        <fgColor theme="4" tint="0.79985961485641044"/>
        <bgColor indexed="65"/>
      </patternFill>
    </fill>
    <fill>
      <patternFill patternType="solid">
        <fgColor rgb="FF173F6D"/>
      </patternFill>
    </fill>
    <fill>
      <patternFill patternType="solid">
        <fgColor rgb="FFD6C28A"/>
      </patternFill>
    </fill>
    <fill>
      <patternFill patternType="solid">
        <fgColor rgb="FFD9EAF7"/>
      </patternFill>
    </fill>
    <fill>
      <patternFill patternType="solid">
        <fgColor theme="9" tint="0.79985961485641044"/>
        <bgColor indexed="65"/>
      </patternFill>
    </fill>
    <fill>
      <patternFill patternType="solid">
        <fgColor rgb="FFF8EFCF"/>
      </patternFill>
    </fill>
    <fill>
      <patternFill patternType="solid">
        <fgColor rgb="FFE7E6E6"/>
      </patternFill>
    </fill>
    <fill>
      <patternFill patternType="solid">
        <fgColor rgb="FFFFFFFF"/>
      </patternFill>
    </fill>
    <fill>
      <patternFill patternType="solid">
        <fgColor rgb="FFF2F2F2"/>
      </patternFill>
    </fill>
    <fill>
      <patternFill patternType="solid">
        <fgColor rgb="FFF8F1D1"/>
      </patternFill>
    </fill>
    <fill>
      <patternFill patternType="solid">
        <fgColor rgb="FFEAF4E1"/>
      </patternFill>
    </fill>
    <fill>
      <patternFill patternType="solid">
        <fgColor rgb="FF111111"/>
      </patternFill>
    </fill>
    <fill>
      <patternFill patternType="solid">
        <fgColor rgb="FFC00000"/>
      </patternFill>
    </fill>
    <fill>
      <patternFill patternType="solid">
        <fgColor rgb="FFD0CECE"/>
      </patternFill>
    </fill>
    <fill>
      <patternFill patternType="solid">
        <fgColor rgb="FFFFF2CC"/>
      </patternFill>
    </fill>
    <fill>
      <patternFill patternType="solid">
        <fgColor rgb="FFDDEBF7"/>
      </patternFill>
    </fill>
    <fill>
      <patternFill patternType="solid">
        <fgColor rgb="FFE2F0D9"/>
      </patternFill>
    </fill>
    <fill>
      <patternFill patternType="solid">
        <fgColor rgb="FF1F4E78"/>
      </patternFill>
    </fill>
    <fill>
      <patternFill patternType="solid">
        <fgColor rgb="FFF2F2F2"/>
      </patternFill>
    </fill>
    <fill>
      <patternFill patternType="solid">
        <fgColor rgb="FFE7E6E6"/>
      </patternFill>
    </fill>
    <fill>
      <patternFill patternType="solid">
        <fgColor rgb="FFFCE4D6"/>
      </patternFill>
    </fill>
    <fill>
      <patternFill patternType="solid">
        <fgColor rgb="FFE2F0D9"/>
      </patternFill>
    </fill>
    <fill>
      <patternFill patternType="solid">
        <fgColor rgb="FFFFFFFF"/>
      </patternFill>
    </fill>
    <fill>
      <patternFill patternType="solid">
        <fgColor rgb="FFFFFF00"/>
        <bgColor indexed="64"/>
      </patternFill>
    </fill>
    <fill>
      <patternFill patternType="solid">
        <fgColor theme="9"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style="medium">
        <color rgb="FF173F6D"/>
      </top>
      <bottom style="medium">
        <color rgb="FF173F6D"/>
      </bottom>
      <diagonal/>
    </border>
    <border>
      <left/>
      <right/>
      <top style="thin">
        <color auto="1"/>
      </top>
      <bottom style="thin">
        <color auto="1"/>
      </bottom>
      <diagonal/>
    </border>
    <border>
      <left/>
      <right style="thin">
        <color auto="1"/>
      </right>
      <top/>
      <bottom style="thin">
        <color auto="1"/>
      </bottom>
      <diagonal/>
    </border>
    <border>
      <left/>
      <right/>
      <top style="medium">
        <color auto="1"/>
      </top>
      <bottom style="medium">
        <color auto="1"/>
      </bottom>
      <diagonal/>
    </border>
    <border>
      <left/>
      <right/>
      <top style="medium">
        <color rgb="FF173F6D"/>
      </top>
      <bottom/>
      <diagonal/>
    </border>
    <border>
      <left/>
      <right/>
      <top style="medium">
        <color rgb="FF173F6D"/>
      </top>
      <bottom style="thin">
        <color rgb="FFB7B7B7"/>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8C8C8C"/>
      </left>
      <right style="thin">
        <color rgb="FF8C8C8C"/>
      </right>
      <top style="thin">
        <color rgb="FF8C8C8C"/>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rgb="FF8C8C8C"/>
      </top>
      <bottom/>
      <diagonal/>
    </border>
    <border>
      <left/>
      <right style="thin">
        <color rgb="FF8C8C8C"/>
      </right>
      <top style="thin">
        <color rgb="FF8C8C8C"/>
      </top>
      <bottom/>
      <diagonal/>
    </border>
    <border>
      <left style="thin">
        <color auto="1"/>
      </left>
      <right style="thin">
        <color auto="1"/>
      </right>
      <top style="thin">
        <color auto="1"/>
      </top>
      <bottom style="thin">
        <color rgb="FF7F7F7F"/>
      </bottom>
      <diagonal/>
    </border>
    <border>
      <left/>
      <right/>
      <top style="thin">
        <color auto="1"/>
      </top>
      <bottom style="thin">
        <color rgb="FF7F7F7F"/>
      </bottom>
      <diagonal/>
    </border>
    <border>
      <left/>
      <right style="thin">
        <color auto="1"/>
      </right>
      <top style="thin">
        <color auto="1"/>
      </top>
      <bottom style="thin">
        <color rgb="FF7F7F7F"/>
      </bottom>
      <diagonal/>
    </border>
  </borders>
  <cellStyleXfs count="3">
    <xf numFmtId="0" fontId="0" fillId="0" borderId="0"/>
    <xf numFmtId="181" fontId="2" fillId="0" borderId="0"/>
    <xf numFmtId="0" fontId="3" fillId="2" borderId="0"/>
  </cellStyleXfs>
  <cellXfs count="234">
    <xf numFmtId="0" fontId="0" fillId="0" borderId="0" xfId="0"/>
    <xf numFmtId="0" fontId="3" fillId="0" borderId="0" xfId="0" applyFont="1"/>
    <xf numFmtId="0" fontId="6" fillId="5" borderId="0" xfId="0" applyFont="1" applyFill="1" applyAlignment="1">
      <alignment horizontal="left" vertical="center" wrapText="1"/>
    </xf>
    <xf numFmtId="0" fontId="6" fillId="5" borderId="0" xfId="0" applyFont="1" applyFill="1" applyAlignment="1">
      <alignment horizontal="left" vertical="center"/>
    </xf>
    <xf numFmtId="0" fontId="7" fillId="6" borderId="1" xfId="0" applyFont="1" applyFill="1" applyBorder="1" applyAlignment="1">
      <alignment horizontal="left" vertical="center" wrapText="1"/>
    </xf>
    <xf numFmtId="164" fontId="8" fillId="7" borderId="1" xfId="0" applyNumberFormat="1" applyFont="1" applyFill="1" applyBorder="1" applyAlignment="1">
      <alignment horizontal="right" vertical="center"/>
    </xf>
    <xf numFmtId="0" fontId="7" fillId="0" borderId="1" xfId="0" applyFont="1" applyBorder="1" applyAlignment="1">
      <alignment horizontal="left" vertical="center" wrapText="1"/>
    </xf>
    <xf numFmtId="165" fontId="8" fillId="7" borderId="1" xfId="0" applyNumberFormat="1" applyFont="1" applyFill="1" applyBorder="1" applyAlignment="1">
      <alignment horizontal="right" vertical="center"/>
    </xf>
    <xf numFmtId="166" fontId="8" fillId="7" borderId="1" xfId="0" applyNumberFormat="1" applyFont="1" applyFill="1" applyBorder="1" applyAlignment="1">
      <alignment horizontal="right" vertical="center"/>
    </xf>
    <xf numFmtId="0" fontId="3" fillId="0" borderId="0" xfId="0" applyFont="1" applyAlignment="1">
      <alignment horizontal="left" vertical="center" wrapText="1"/>
    </xf>
    <xf numFmtId="167" fontId="9" fillId="0" borderId="1" xfId="0" applyNumberFormat="1" applyFont="1" applyBorder="1" applyAlignment="1">
      <alignment horizontal="right" vertical="center"/>
    </xf>
    <xf numFmtId="0" fontId="7" fillId="0" borderId="0" xfId="0" applyFont="1" applyAlignment="1">
      <alignment horizontal="left"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left" vertical="center"/>
    </xf>
    <xf numFmtId="165" fontId="9" fillId="0" borderId="1" xfId="0" applyNumberFormat="1" applyFont="1" applyBorder="1" applyAlignment="1">
      <alignment horizontal="right" vertical="center"/>
    </xf>
    <xf numFmtId="164" fontId="9" fillId="0" borderId="1" xfId="0" applyNumberFormat="1" applyFont="1" applyBorder="1" applyAlignment="1">
      <alignment horizontal="right" vertical="center"/>
    </xf>
    <xf numFmtId="0" fontId="10" fillId="5" borderId="2" xfId="0" applyFont="1" applyFill="1" applyBorder="1" applyAlignment="1">
      <alignment horizontal="left" vertical="center" wrapText="1"/>
    </xf>
    <xf numFmtId="164" fontId="11" fillId="0" borderId="2" xfId="0" applyNumberFormat="1" applyFont="1" applyBorder="1" applyAlignment="1">
      <alignment horizontal="right" vertical="center"/>
    </xf>
    <xf numFmtId="0" fontId="14" fillId="8" borderId="1" xfId="0" applyFont="1" applyFill="1" applyBorder="1" applyAlignment="1">
      <alignment horizontal="left" vertical="center" wrapText="1"/>
    </xf>
    <xf numFmtId="168" fontId="15" fillId="9" borderId="1" xfId="0" applyNumberFormat="1" applyFont="1" applyFill="1" applyBorder="1" applyAlignment="1">
      <alignment horizontal="right" vertical="center" wrapText="1"/>
    </xf>
    <xf numFmtId="4" fontId="16" fillId="10" borderId="1" xfId="0" applyNumberFormat="1" applyFont="1" applyFill="1" applyBorder="1" applyAlignment="1">
      <alignment horizontal="right" vertical="center" wrapText="1"/>
    </xf>
    <xf numFmtId="0" fontId="14" fillId="8" borderId="1" xfId="0" applyFont="1" applyFill="1" applyBorder="1" applyAlignment="1">
      <alignment horizontal="center" vertical="center" wrapText="1"/>
    </xf>
    <xf numFmtId="169" fontId="16" fillId="10" borderId="1" xfId="0" applyNumberFormat="1" applyFont="1" applyFill="1" applyBorder="1" applyAlignment="1">
      <alignment horizontal="right" vertical="center" wrapText="1"/>
    </xf>
    <xf numFmtId="0" fontId="15" fillId="9"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164" fontId="15" fillId="9" borderId="1" xfId="0" applyNumberFormat="1" applyFont="1" applyFill="1" applyBorder="1" applyAlignment="1">
      <alignment horizontal="right" vertical="center" wrapText="1"/>
    </xf>
    <xf numFmtId="164" fontId="16" fillId="10" borderId="1" xfId="0" applyNumberFormat="1" applyFont="1" applyFill="1" applyBorder="1" applyAlignment="1">
      <alignment horizontal="right" vertical="center" wrapText="1"/>
    </xf>
    <xf numFmtId="170" fontId="16" fillId="10" borderId="1" xfId="0" applyNumberFormat="1" applyFont="1" applyFill="1" applyBorder="1" applyAlignment="1">
      <alignment horizontal="right" vertical="center" wrapText="1"/>
    </xf>
    <xf numFmtId="40" fontId="16" fillId="10" borderId="1" xfId="0" applyNumberFormat="1" applyFont="1" applyFill="1" applyBorder="1" applyAlignment="1">
      <alignment horizontal="right" vertical="center" wrapText="1"/>
    </xf>
    <xf numFmtId="168" fontId="16" fillId="10" borderId="1" xfId="0" applyNumberFormat="1" applyFont="1" applyFill="1" applyBorder="1" applyAlignment="1">
      <alignment horizontal="left"/>
    </xf>
    <xf numFmtId="0" fontId="18" fillId="5" borderId="5" xfId="0" applyFont="1" applyFill="1" applyBorder="1" applyAlignment="1">
      <alignment horizontal="left" vertical="center" wrapText="1"/>
    </xf>
    <xf numFmtId="164" fontId="18" fillId="5" borderId="5" xfId="0" applyNumberFormat="1" applyFont="1" applyFill="1" applyBorder="1" applyAlignment="1">
      <alignment horizontal="right" vertical="center" wrapText="1"/>
    </xf>
    <xf numFmtId="4" fontId="18" fillId="5" borderId="5" xfId="0" applyNumberFormat="1" applyFont="1" applyFill="1" applyBorder="1" applyAlignment="1">
      <alignment horizontal="right" vertical="center"/>
    </xf>
    <xf numFmtId="168" fontId="18" fillId="5" borderId="5" xfId="0" applyNumberFormat="1" applyFont="1" applyFill="1" applyBorder="1" applyAlignment="1">
      <alignment horizontal="right" vertical="center" wrapText="1"/>
    </xf>
    <xf numFmtId="169" fontId="18" fillId="5" borderId="5" xfId="0" applyNumberFormat="1" applyFont="1" applyFill="1" applyBorder="1" applyAlignment="1">
      <alignment horizontal="right" vertical="center"/>
    </xf>
    <xf numFmtId="0" fontId="19" fillId="0" borderId="0" xfId="0" applyFont="1"/>
    <xf numFmtId="165" fontId="7" fillId="0" borderId="1" xfId="0" applyNumberFormat="1" applyFont="1" applyBorder="1" applyAlignment="1">
      <alignment horizontal="right" vertical="center"/>
    </xf>
    <xf numFmtId="170" fontId="7" fillId="0" borderId="1" xfId="0" applyNumberFormat="1" applyFont="1" applyBorder="1" applyAlignment="1">
      <alignment horizontal="right" vertical="center"/>
    </xf>
    <xf numFmtId="0" fontId="5" fillId="5" borderId="0" xfId="0" applyFont="1" applyFill="1" applyAlignment="1">
      <alignment horizontal="left" vertical="center"/>
    </xf>
    <xf numFmtId="0" fontId="11" fillId="8" borderId="6" xfId="0" applyFont="1" applyFill="1" applyBorder="1" applyAlignment="1">
      <alignment horizontal="left" vertical="center" wrapText="1"/>
    </xf>
    <xf numFmtId="0" fontId="11" fillId="8" borderId="6" xfId="0" applyFont="1" applyFill="1" applyBorder="1" applyAlignment="1">
      <alignment horizontal="left" vertical="center"/>
    </xf>
    <xf numFmtId="0" fontId="11" fillId="8" borderId="7" xfId="0" applyFont="1" applyFill="1" applyBorder="1" applyAlignment="1">
      <alignment horizontal="center" vertical="center"/>
    </xf>
    <xf numFmtId="164" fontId="7" fillId="0" borderId="1" xfId="0" applyNumberFormat="1" applyFont="1" applyBorder="1" applyAlignment="1">
      <alignment horizontal="right" vertical="center"/>
    </xf>
    <xf numFmtId="0" fontId="9" fillId="0" borderId="1" xfId="0" applyFont="1" applyBorder="1" applyAlignment="1">
      <alignment horizontal="right" vertical="center"/>
    </xf>
    <xf numFmtId="2" fontId="9" fillId="0" borderId="1" xfId="0" applyNumberFormat="1" applyFont="1" applyBorder="1" applyAlignment="1">
      <alignment horizontal="right" vertical="center"/>
    </xf>
    <xf numFmtId="0" fontId="10" fillId="5" borderId="1" xfId="0" applyFont="1" applyFill="1" applyBorder="1" applyAlignment="1">
      <alignment horizontal="left" vertical="center" wrapText="1"/>
    </xf>
    <xf numFmtId="0" fontId="3" fillId="0" borderId="1" xfId="0" applyFont="1" applyBorder="1"/>
    <xf numFmtId="164" fontId="11" fillId="0" borderId="1" xfId="0" applyNumberFormat="1" applyFont="1" applyBorder="1" applyAlignment="1">
      <alignment horizontal="right" vertical="center"/>
    </xf>
    <xf numFmtId="171" fontId="1" fillId="0" borderId="0" xfId="0" applyNumberFormat="1" applyFont="1"/>
    <xf numFmtId="171" fontId="9" fillId="0" borderId="1" xfId="0" applyNumberFormat="1" applyFont="1" applyBorder="1" applyAlignment="1">
      <alignment horizontal="right" vertical="center"/>
    </xf>
    <xf numFmtId="0" fontId="7" fillId="0" borderId="1" xfId="0" applyFont="1" applyBorder="1" applyAlignment="1">
      <alignment horizontal="left" vertical="center"/>
    </xf>
    <xf numFmtId="165" fontId="9" fillId="9" borderId="1" xfId="0" applyNumberFormat="1" applyFont="1" applyFill="1" applyBorder="1" applyAlignment="1">
      <alignment horizontal="right" vertical="center"/>
    </xf>
    <xf numFmtId="0" fontId="3" fillId="0" borderId="0" xfId="0" applyFont="1" applyAlignment="1">
      <alignment vertical="center"/>
    </xf>
    <xf numFmtId="165" fontId="7" fillId="9" borderId="1" xfId="0" applyNumberFormat="1" applyFont="1" applyFill="1" applyBorder="1" applyAlignment="1">
      <alignment horizontal="right" vertical="center"/>
    </xf>
    <xf numFmtId="164" fontId="7" fillId="9" borderId="1" xfId="0" applyNumberFormat="1" applyFont="1" applyFill="1" applyBorder="1" applyAlignment="1">
      <alignment horizontal="right" vertical="center"/>
    </xf>
    <xf numFmtId="171" fontId="7" fillId="0" borderId="1" xfId="0" applyNumberFormat="1" applyFont="1" applyBorder="1" applyAlignment="1">
      <alignment horizontal="right" vertical="center"/>
    </xf>
    <xf numFmtId="164" fontId="11" fillId="12" borderId="1" xfId="0" applyNumberFormat="1" applyFont="1" applyFill="1" applyBorder="1" applyAlignment="1">
      <alignment horizontal="right" vertical="center"/>
    </xf>
    <xf numFmtId="0" fontId="11" fillId="0" borderId="1" xfId="0" applyFont="1" applyBorder="1" applyAlignment="1">
      <alignment horizontal="left" vertical="center"/>
    </xf>
    <xf numFmtId="164" fontId="7" fillId="12" borderId="1" xfId="0" applyNumberFormat="1" applyFont="1" applyFill="1" applyBorder="1" applyAlignment="1">
      <alignment horizontal="right" vertical="center"/>
    </xf>
    <xf numFmtId="0" fontId="20" fillId="8" borderId="6" xfId="0" applyFont="1" applyFill="1" applyBorder="1" applyAlignment="1">
      <alignment horizontal="left" vertical="center" wrapText="1"/>
    </xf>
    <xf numFmtId="0" fontId="3" fillId="0" borderId="1" xfId="0" applyFont="1" applyBorder="1" applyAlignment="1">
      <alignment vertical="center"/>
    </xf>
    <xf numFmtId="0" fontId="20" fillId="0" borderId="1" xfId="0" applyFont="1" applyBorder="1" applyAlignment="1">
      <alignment horizontal="left" vertical="center" wrapText="1"/>
    </xf>
    <xf numFmtId="0" fontId="21" fillId="5" borderId="1" xfId="0" applyFont="1" applyFill="1" applyBorder="1" applyAlignment="1">
      <alignment horizontal="left" vertical="center" wrapText="1"/>
    </xf>
    <xf numFmtId="0" fontId="21" fillId="8" borderId="0" xfId="0" applyFont="1" applyFill="1" applyAlignment="1">
      <alignment vertical="center" wrapText="1"/>
    </xf>
    <xf numFmtId="0" fontId="21" fillId="0" borderId="0" xfId="0" applyFont="1" applyAlignment="1">
      <alignment vertical="center"/>
    </xf>
    <xf numFmtId="164" fontId="3" fillId="0" borderId="0" xfId="0" applyNumberFormat="1" applyFont="1" applyAlignment="1">
      <alignment vertical="center"/>
    </xf>
    <xf numFmtId="164" fontId="6" fillId="5" borderId="0" xfId="0" applyNumberFormat="1" applyFont="1" applyFill="1" applyAlignment="1">
      <alignment horizontal="left" vertical="center"/>
    </xf>
    <xf numFmtId="164" fontId="11" fillId="8" borderId="6" xfId="0" applyNumberFormat="1" applyFont="1" applyFill="1" applyBorder="1" applyAlignment="1">
      <alignment horizontal="left" vertical="center"/>
    </xf>
    <xf numFmtId="0" fontId="11" fillId="0" borderId="1" xfId="0" applyFont="1" applyBorder="1" applyAlignment="1">
      <alignment horizontal="left" vertical="center" wrapText="1"/>
    </xf>
    <xf numFmtId="0" fontId="11" fillId="8" borderId="7" xfId="0" applyFont="1" applyFill="1" applyBorder="1" applyAlignment="1">
      <alignment horizontal="left" vertical="center" wrapText="1"/>
    </xf>
    <xf numFmtId="0" fontId="11" fillId="8" borderId="7" xfId="0" applyFont="1" applyFill="1" applyBorder="1" applyAlignment="1">
      <alignment horizontal="left" vertical="center"/>
    </xf>
    <xf numFmtId="165" fontId="7" fillId="0" borderId="0" xfId="0" applyNumberFormat="1" applyFont="1" applyAlignment="1">
      <alignment horizontal="right" vertical="center"/>
    </xf>
    <xf numFmtId="165" fontId="7" fillId="7" borderId="0" xfId="0" applyNumberFormat="1" applyFont="1" applyFill="1" applyAlignment="1">
      <alignment horizontal="right" vertical="center"/>
    </xf>
    <xf numFmtId="0" fontId="7" fillId="12" borderId="0" xfId="0" applyFont="1" applyFill="1" applyAlignment="1">
      <alignment horizontal="left" vertical="center"/>
    </xf>
    <xf numFmtId="164" fontId="7" fillId="0" borderId="0" xfId="0" applyNumberFormat="1" applyFont="1" applyAlignment="1">
      <alignment horizontal="right" vertical="center"/>
    </xf>
    <xf numFmtId="164" fontId="7" fillId="7" borderId="0" xfId="0" applyNumberFormat="1" applyFont="1" applyFill="1" applyAlignment="1">
      <alignment horizontal="right" vertical="center"/>
    </xf>
    <xf numFmtId="171" fontId="1" fillId="0" borderId="1" xfId="0" applyNumberFormat="1" applyFont="1" applyBorder="1"/>
    <xf numFmtId="0" fontId="11" fillId="5" borderId="1" xfId="0" applyFont="1" applyFill="1" applyBorder="1" applyAlignment="1">
      <alignment horizontal="left" vertical="center" wrapText="1"/>
    </xf>
    <xf numFmtId="164" fontId="11" fillId="7" borderId="1" xfId="0" applyNumberFormat="1" applyFont="1" applyFill="1" applyBorder="1" applyAlignment="1">
      <alignment horizontal="right" vertical="center"/>
    </xf>
    <xf numFmtId="171" fontId="11" fillId="7" borderId="1" xfId="0" applyNumberFormat="1" applyFont="1" applyFill="1" applyBorder="1" applyAlignment="1">
      <alignment horizontal="right" vertical="center"/>
    </xf>
    <xf numFmtId="171" fontId="11" fillId="12" borderId="1" xfId="0" applyNumberFormat="1" applyFont="1" applyFill="1" applyBorder="1" applyAlignment="1">
      <alignment horizontal="right" vertical="center"/>
    </xf>
    <xf numFmtId="165" fontId="22" fillId="0" borderId="1" xfId="0" applyNumberFormat="1" applyFont="1" applyBorder="1" applyAlignment="1">
      <alignment horizontal="right" vertical="center"/>
    </xf>
    <xf numFmtId="0" fontId="11" fillId="0" borderId="8" xfId="0" applyFont="1" applyBorder="1" applyAlignment="1">
      <alignment horizontal="left" vertical="center" wrapText="1"/>
    </xf>
    <xf numFmtId="164" fontId="11" fillId="12" borderId="8" xfId="0" applyNumberFormat="1" applyFont="1" applyFill="1" applyBorder="1" applyAlignment="1">
      <alignment horizontal="right" vertical="center"/>
    </xf>
    <xf numFmtId="0" fontId="11" fillId="5" borderId="9" xfId="0" applyFont="1" applyFill="1" applyBorder="1" applyAlignment="1">
      <alignment horizontal="left" vertical="center" wrapText="1"/>
    </xf>
    <xf numFmtId="164" fontId="11" fillId="12" borderId="9" xfId="0" applyNumberFormat="1" applyFont="1" applyFill="1" applyBorder="1" applyAlignment="1">
      <alignment horizontal="right" vertical="center"/>
    </xf>
    <xf numFmtId="172" fontId="11" fillId="7" borderId="1" xfId="0" applyNumberFormat="1" applyFont="1" applyFill="1" applyBorder="1" applyAlignment="1">
      <alignment horizontal="right" vertical="center"/>
    </xf>
    <xf numFmtId="166" fontId="9" fillId="0" borderId="1" xfId="0" applyNumberFormat="1" applyFont="1" applyBorder="1" applyAlignment="1">
      <alignment horizontal="right" vertical="center"/>
    </xf>
    <xf numFmtId="166" fontId="7" fillId="0" borderId="1" xfId="0" applyNumberFormat="1" applyFont="1" applyBorder="1" applyAlignment="1">
      <alignment horizontal="right" vertical="center"/>
    </xf>
    <xf numFmtId="164" fontId="9" fillId="0" borderId="1" xfId="0" applyNumberFormat="1" applyFont="1" applyBorder="1" applyAlignment="1">
      <alignment horizontal="left" vertical="center" wrapText="1"/>
    </xf>
    <xf numFmtId="165" fontId="9" fillId="0" borderId="1" xfId="0" applyNumberFormat="1" applyFont="1" applyBorder="1" applyAlignment="1">
      <alignment horizontal="left" vertical="center" wrapText="1"/>
    </xf>
    <xf numFmtId="0" fontId="10" fillId="5" borderId="0" xfId="0" applyFont="1" applyFill="1" applyAlignment="1">
      <alignment horizontal="left" vertical="center" wrapText="1"/>
    </xf>
    <xf numFmtId="166" fontId="11" fillId="0" borderId="0" xfId="0" applyNumberFormat="1" applyFont="1" applyAlignment="1">
      <alignment horizontal="right" vertical="center"/>
    </xf>
    <xf numFmtId="0" fontId="3" fillId="0" borderId="0" xfId="0" applyFont="1" applyAlignment="1">
      <alignment horizontal="right"/>
    </xf>
    <xf numFmtId="164" fontId="3" fillId="0" borderId="0" xfId="0" applyNumberFormat="1" applyFont="1" applyAlignment="1">
      <alignment horizontal="right"/>
    </xf>
    <xf numFmtId="0" fontId="11" fillId="7" borderId="1" xfId="0" applyFont="1" applyFill="1" applyBorder="1" applyAlignment="1">
      <alignment horizontal="right"/>
    </xf>
    <xf numFmtId="0" fontId="3" fillId="0" borderId="1" xfId="0" applyFont="1" applyBorder="1" applyAlignment="1">
      <alignment horizontal="right"/>
    </xf>
    <xf numFmtId="164" fontId="11" fillId="0" borderId="1" xfId="0" applyNumberFormat="1" applyFont="1" applyBorder="1" applyAlignment="1">
      <alignment horizontal="left" vertical="center" wrapText="1"/>
    </xf>
    <xf numFmtId="164" fontId="7" fillId="0" borderId="1" xfId="0" applyNumberFormat="1" applyFont="1" applyBorder="1" applyAlignment="1">
      <alignment horizontal="left" vertical="center" wrapText="1"/>
    </xf>
    <xf numFmtId="171" fontId="11" fillId="0" borderId="1" xfId="0" applyNumberFormat="1" applyFont="1" applyBorder="1" applyAlignment="1">
      <alignment horizontal="right" vertical="center"/>
    </xf>
    <xf numFmtId="171" fontId="23" fillId="0" borderId="1" xfId="0" applyNumberFormat="1" applyFont="1" applyBorder="1" applyAlignment="1">
      <alignment horizontal="right" vertical="center"/>
    </xf>
    <xf numFmtId="169" fontId="9" fillId="0" borderId="1" xfId="0" applyNumberFormat="1" applyFont="1" applyBorder="1" applyAlignment="1">
      <alignment horizontal="right" vertical="center"/>
    </xf>
    <xf numFmtId="0" fontId="11" fillId="8" borderId="6" xfId="0" applyFont="1" applyFill="1" applyBorder="1" applyAlignment="1">
      <alignment horizontal="center" vertical="center"/>
    </xf>
    <xf numFmtId="0" fontId="11" fillId="8" borderId="6" xfId="0" applyFont="1" applyFill="1" applyBorder="1" applyAlignment="1">
      <alignment horizontal="right" vertical="center"/>
    </xf>
    <xf numFmtId="0" fontId="7" fillId="0" borderId="1" xfId="0" applyFont="1" applyBorder="1" applyAlignment="1">
      <alignment horizontal="center" vertical="center"/>
    </xf>
    <xf numFmtId="0" fontId="9" fillId="0" borderId="1" xfId="0" applyFont="1" applyBorder="1" applyAlignment="1">
      <alignment horizontal="left" vertical="center"/>
    </xf>
    <xf numFmtId="164" fontId="9" fillId="7" borderId="1" xfId="0" applyNumberFormat="1" applyFont="1" applyFill="1" applyBorder="1" applyAlignment="1">
      <alignment horizontal="right" vertical="center"/>
    </xf>
    <xf numFmtId="0" fontId="9"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xf>
    <xf numFmtId="0" fontId="3" fillId="0" borderId="1" xfId="0" applyFont="1" applyBorder="1" applyAlignment="1">
      <alignment horizontal="center" vertical="center"/>
    </xf>
    <xf numFmtId="0" fontId="3" fillId="0" borderId="0" xfId="0" applyFont="1" applyAlignment="1">
      <alignment horizontal="right" vertical="center"/>
    </xf>
    <xf numFmtId="0" fontId="3" fillId="0" borderId="0" xfId="0" applyFont="1" applyAlignment="1">
      <alignment horizontal="center" vertical="center"/>
    </xf>
    <xf numFmtId="0" fontId="7" fillId="0" borderId="0" xfId="0" applyFont="1" applyAlignment="1">
      <alignment horizontal="right" vertical="center"/>
    </xf>
    <xf numFmtId="0" fontId="11" fillId="8" borderId="1" xfId="0" applyFont="1" applyFill="1" applyBorder="1" applyAlignment="1">
      <alignment horizontal="left" vertical="center" wrapText="1"/>
    </xf>
    <xf numFmtId="0" fontId="11" fillId="8" borderId="1" xfId="0" applyFont="1" applyFill="1" applyBorder="1" applyAlignment="1">
      <alignment horizontal="left" vertical="center"/>
    </xf>
    <xf numFmtId="164" fontId="9" fillId="12" borderId="1" xfId="0" applyNumberFormat="1" applyFont="1" applyFill="1" applyBorder="1" applyAlignment="1">
      <alignment horizontal="right" vertical="center"/>
    </xf>
    <xf numFmtId="164" fontId="9" fillId="9" borderId="1" xfId="0" applyNumberFormat="1" applyFont="1" applyFill="1" applyBorder="1" applyAlignment="1">
      <alignment horizontal="right" vertical="center"/>
    </xf>
    <xf numFmtId="164" fontId="9" fillId="9" borderId="1" xfId="0" applyNumberFormat="1" applyFont="1" applyFill="1" applyBorder="1" applyAlignment="1">
      <alignment horizontal="left" vertical="center" wrapText="1"/>
    </xf>
    <xf numFmtId="164" fontId="7" fillId="9" borderId="1" xfId="0" applyNumberFormat="1" applyFont="1" applyFill="1" applyBorder="1" applyAlignment="1">
      <alignment horizontal="left" vertical="center" wrapText="1"/>
    </xf>
    <xf numFmtId="164" fontId="7" fillId="12" borderId="1" xfId="0" applyNumberFormat="1" applyFont="1" applyFill="1" applyBorder="1" applyAlignment="1">
      <alignment horizontal="left" vertical="center"/>
    </xf>
    <xf numFmtId="164" fontId="11" fillId="12" borderId="1" xfId="0" applyNumberFormat="1" applyFont="1" applyFill="1" applyBorder="1" applyAlignment="1">
      <alignment horizontal="left" vertical="center"/>
    </xf>
    <xf numFmtId="164" fontId="11" fillId="9" borderId="1" xfId="0" applyNumberFormat="1" applyFont="1" applyFill="1" applyBorder="1" applyAlignment="1">
      <alignment horizontal="right" vertical="center"/>
    </xf>
    <xf numFmtId="164" fontId="11" fillId="9" borderId="1" xfId="0" applyNumberFormat="1" applyFont="1" applyFill="1" applyBorder="1" applyAlignment="1">
      <alignment horizontal="left" vertical="center" wrapText="1"/>
    </xf>
    <xf numFmtId="166" fontId="7" fillId="12" borderId="1" xfId="0" applyNumberFormat="1" applyFont="1" applyFill="1" applyBorder="1" applyAlignment="1">
      <alignment horizontal="left" vertical="center"/>
    </xf>
    <xf numFmtId="166" fontId="7" fillId="9" borderId="1" xfId="0" applyNumberFormat="1" applyFont="1" applyFill="1" applyBorder="1" applyAlignment="1">
      <alignment horizontal="right" vertical="center"/>
    </xf>
    <xf numFmtId="166" fontId="7" fillId="9" borderId="1" xfId="0" applyNumberFormat="1" applyFont="1" applyFill="1" applyBorder="1" applyAlignment="1">
      <alignment horizontal="left" vertical="center" wrapText="1"/>
    </xf>
    <xf numFmtId="165" fontId="11" fillId="7" borderId="1" xfId="0" applyNumberFormat="1" applyFont="1" applyFill="1" applyBorder="1" applyAlignment="1">
      <alignment horizontal="right" vertical="center"/>
    </xf>
    <xf numFmtId="164" fontId="9" fillId="0" borderId="0" xfId="0" applyNumberFormat="1" applyFont="1" applyAlignment="1">
      <alignment horizontal="right" vertical="center"/>
    </xf>
    <xf numFmtId="0" fontId="0" fillId="0" borderId="0" xfId="0" applyAlignment="1">
      <alignment vertical="center" wrapText="1"/>
    </xf>
    <xf numFmtId="164" fontId="0" fillId="0" borderId="0" xfId="0" applyNumberFormat="1" applyAlignment="1">
      <alignment vertical="center" wrapText="1"/>
    </xf>
    <xf numFmtId="0" fontId="35" fillId="0" borderId="1" xfId="0" applyFont="1" applyBorder="1" applyAlignment="1">
      <alignment vertical="center" wrapText="1"/>
    </xf>
    <xf numFmtId="165" fontId="0" fillId="0" borderId="1" xfId="0" applyNumberFormat="1" applyBorder="1" applyAlignment="1">
      <alignment vertical="center" wrapText="1"/>
    </xf>
    <xf numFmtId="0" fontId="0" fillId="0" borderId="1" xfId="0" applyBorder="1" applyAlignment="1">
      <alignment vertical="center" wrapText="1"/>
    </xf>
    <xf numFmtId="0" fontId="35" fillId="5" borderId="1" xfId="0" applyFont="1" applyFill="1" applyBorder="1" applyAlignment="1">
      <alignment vertical="center" wrapText="1"/>
    </xf>
    <xf numFmtId="170" fontId="0" fillId="0" borderId="1" xfId="0" applyNumberFormat="1" applyBorder="1" applyAlignment="1">
      <alignment vertical="center" wrapText="1"/>
    </xf>
    <xf numFmtId="166" fontId="0" fillId="0" borderId="1" xfId="0" applyNumberFormat="1" applyBorder="1" applyAlignment="1">
      <alignment vertical="center" wrapText="1"/>
    </xf>
    <xf numFmtId="164" fontId="0" fillId="0" borderId="1" xfId="0" applyNumberFormat="1" applyBorder="1" applyAlignment="1">
      <alignment vertical="center" wrapText="1"/>
    </xf>
    <xf numFmtId="0" fontId="35" fillId="5" borderId="0" xfId="0" applyFont="1" applyFill="1" applyAlignment="1">
      <alignment vertical="center" wrapText="1"/>
    </xf>
    <xf numFmtId="0" fontId="0" fillId="5" borderId="0" xfId="0" applyFill="1" applyAlignment="1">
      <alignment vertical="center" wrapText="1"/>
    </xf>
    <xf numFmtId="0" fontId="35" fillId="8" borderId="0" xfId="0" applyFont="1" applyFill="1" applyAlignment="1">
      <alignment vertical="center" wrapText="1"/>
    </xf>
    <xf numFmtId="0" fontId="36" fillId="0" borderId="1" xfId="0" applyFont="1" applyBorder="1" applyAlignment="1">
      <alignment vertical="center" wrapText="1"/>
    </xf>
    <xf numFmtId="164" fontId="35" fillId="5" borderId="1" xfId="0" applyNumberFormat="1" applyFont="1" applyFill="1" applyBorder="1" applyAlignment="1">
      <alignment vertical="center" wrapText="1"/>
    </xf>
    <xf numFmtId="0" fontId="35" fillId="5" borderId="4" xfId="0" applyFont="1" applyFill="1" applyBorder="1" applyAlignment="1">
      <alignment vertical="center" wrapText="1"/>
    </xf>
    <xf numFmtId="0" fontId="35" fillId="5" borderId="9" xfId="0" applyFont="1" applyFill="1" applyBorder="1" applyAlignment="1">
      <alignment vertical="center" wrapText="1"/>
    </xf>
    <xf numFmtId="0" fontId="35" fillId="5" borderId="11" xfId="0" applyFont="1" applyFill="1" applyBorder="1" applyAlignment="1">
      <alignment vertical="center" wrapText="1"/>
    </xf>
    <xf numFmtId="0" fontId="0" fillId="0" borderId="12" xfId="0" applyBorder="1" applyAlignment="1">
      <alignment vertical="center" wrapText="1"/>
    </xf>
    <xf numFmtId="164" fontId="0" fillId="0" borderId="13" xfId="0" applyNumberFormat="1" applyBorder="1" applyAlignment="1">
      <alignment vertical="center" wrapText="1"/>
    </xf>
    <xf numFmtId="0" fontId="0" fillId="0" borderId="14" xfId="0" applyBorder="1" applyAlignment="1">
      <alignment vertical="center" wrapText="1"/>
    </xf>
    <xf numFmtId="164" fontId="0" fillId="0" borderId="8" xfId="0" applyNumberFormat="1" applyBorder="1" applyAlignment="1">
      <alignment vertical="center" wrapText="1"/>
    </xf>
    <xf numFmtId="166" fontId="0" fillId="0" borderId="8" xfId="0" applyNumberFormat="1" applyBorder="1" applyAlignment="1">
      <alignment vertical="center" wrapText="1"/>
    </xf>
    <xf numFmtId="0" fontId="0" fillId="0" borderId="8" xfId="0" applyBorder="1" applyAlignment="1">
      <alignment vertical="center" wrapText="1"/>
    </xf>
    <xf numFmtId="164" fontId="0" fillId="0" borderId="15" xfId="0" applyNumberFormat="1" applyBorder="1" applyAlignment="1">
      <alignment vertical="center" wrapText="1"/>
    </xf>
    <xf numFmtId="0" fontId="37" fillId="0" borderId="0" xfId="0" applyFont="1"/>
    <xf numFmtId="0" fontId="0" fillId="0" borderId="1" xfId="0" applyBorder="1"/>
    <xf numFmtId="0" fontId="3" fillId="2" borderId="1" xfId="0" applyFont="1" applyFill="1" applyBorder="1"/>
    <xf numFmtId="176" fontId="2" fillId="0" borderId="1" xfId="1" applyNumberFormat="1" applyBorder="1"/>
    <xf numFmtId="177" fontId="16" fillId="10" borderId="1" xfId="0" applyNumberFormat="1" applyFont="1" applyFill="1" applyBorder="1" applyAlignment="1">
      <alignment horizontal="right"/>
    </xf>
    <xf numFmtId="0" fontId="35" fillId="0" borderId="0" xfId="0" applyFont="1"/>
    <xf numFmtId="0" fontId="38" fillId="2" borderId="0" xfId="0" applyFont="1" applyFill="1"/>
    <xf numFmtId="0" fontId="39" fillId="8" borderId="1" xfId="0" applyFont="1" applyFill="1" applyBorder="1" applyAlignment="1">
      <alignment horizontal="left" vertical="center" wrapText="1"/>
    </xf>
    <xf numFmtId="0" fontId="27" fillId="14" borderId="0" xfId="0" applyFont="1" applyFill="1" applyAlignment="1">
      <alignment horizontal="center" vertical="center" wrapText="1"/>
    </xf>
    <xf numFmtId="166" fontId="29" fillId="23" borderId="1" xfId="0" applyNumberFormat="1" applyFont="1" applyFill="1" applyBorder="1" applyAlignment="1">
      <alignment horizontal="right" vertical="center"/>
    </xf>
    <xf numFmtId="166" fontId="41" fillId="23" borderId="1" xfId="0" applyNumberFormat="1" applyFont="1" applyFill="1" applyBorder="1" applyAlignment="1">
      <alignment horizontal="right" vertical="center"/>
    </xf>
    <xf numFmtId="178" fontId="29" fillId="23" borderId="1" xfId="0" applyNumberFormat="1" applyFont="1" applyFill="1" applyBorder="1" applyAlignment="1">
      <alignment horizontal="right" vertical="center"/>
    </xf>
    <xf numFmtId="178" fontId="41" fillId="23" borderId="1" xfId="0" applyNumberFormat="1" applyFont="1" applyFill="1" applyBorder="1" applyAlignment="1">
      <alignment horizontal="right" vertical="center"/>
    </xf>
    <xf numFmtId="164" fontId="11" fillId="25" borderId="1" xfId="0" applyNumberFormat="1" applyFont="1" applyFill="1" applyBorder="1" applyAlignment="1">
      <alignment horizontal="right" vertical="center"/>
    </xf>
    <xf numFmtId="176" fontId="8" fillId="7" borderId="1" xfId="0" applyNumberFormat="1" applyFont="1" applyFill="1" applyBorder="1" applyAlignment="1">
      <alignment horizontal="right" vertical="center"/>
    </xf>
    <xf numFmtId="176" fontId="8" fillId="26" borderId="1" xfId="0" applyNumberFormat="1" applyFont="1" applyFill="1" applyBorder="1" applyAlignment="1">
      <alignment horizontal="right" vertical="center"/>
    </xf>
    <xf numFmtId="176" fontId="2" fillId="26" borderId="0" xfId="1" applyNumberFormat="1" applyFill="1"/>
    <xf numFmtId="0" fontId="5" fillId="4" borderId="0" xfId="0" applyFont="1" applyFill="1" applyAlignment="1">
      <alignment horizontal="left" vertical="center" wrapText="1"/>
    </xf>
    <xf numFmtId="0" fontId="3" fillId="0" borderId="0" xfId="0" applyFont="1"/>
    <xf numFmtId="0" fontId="4" fillId="3" borderId="0" xfId="0" applyFont="1" applyFill="1" applyAlignment="1">
      <alignment horizontal="left" vertical="center"/>
    </xf>
    <xf numFmtId="0" fontId="7" fillId="0" borderId="0" xfId="0" applyFont="1" applyAlignment="1">
      <alignment horizontal="left" vertical="center" wrapText="1"/>
    </xf>
    <xf numFmtId="0" fontId="6" fillId="5" borderId="0" xfId="0" applyFont="1" applyFill="1" applyAlignment="1">
      <alignment horizontal="left" vertical="center" wrapText="1"/>
    </xf>
    <xf numFmtId="0" fontId="12" fillId="3" borderId="3" xfId="0" applyFont="1" applyFill="1" applyBorder="1" applyAlignment="1">
      <alignment horizontal="left" vertical="center" wrapText="1"/>
    </xf>
    <xf numFmtId="0" fontId="0" fillId="0" borderId="3" xfId="0" applyBorder="1"/>
    <xf numFmtId="0" fontId="0" fillId="0" borderId="0" xfId="0"/>
    <xf numFmtId="0" fontId="13" fillId="4" borderId="3" xfId="0" applyFont="1" applyFill="1" applyBorder="1" applyAlignment="1">
      <alignment horizontal="left" vertical="center" wrapText="1"/>
    </xf>
    <xf numFmtId="0" fontId="17" fillId="11" borderId="0" xfId="0" applyFont="1" applyFill="1" applyAlignment="1">
      <alignment vertical="top" wrapText="1"/>
    </xf>
    <xf numFmtId="0" fontId="12" fillId="3" borderId="4" xfId="0" applyFont="1" applyFill="1" applyBorder="1" applyAlignment="1">
      <alignment horizontal="center" vertical="center" wrapText="1"/>
    </xf>
    <xf numFmtId="0" fontId="0" fillId="0" borderId="4" xfId="0" applyBorder="1"/>
    <xf numFmtId="0" fontId="12" fillId="3" borderId="0" xfId="0" applyFont="1" applyFill="1" applyAlignment="1">
      <alignment horizontal="center" vertical="center" wrapText="1"/>
    </xf>
    <xf numFmtId="0" fontId="24" fillId="13" borderId="0" xfId="0" applyFont="1" applyFill="1" applyAlignment="1">
      <alignment horizontal="center" vertical="center"/>
    </xf>
    <xf numFmtId="0" fontId="28" fillId="0" borderId="1" xfId="0" applyFont="1" applyBorder="1" applyAlignment="1">
      <alignment horizontal="left" vertical="center"/>
    </xf>
    <xf numFmtId="0" fontId="0" fillId="0" borderId="12" xfId="0" applyBorder="1"/>
    <xf numFmtId="0" fontId="27" fillId="14" borderId="0" xfId="0" applyFont="1" applyFill="1" applyAlignment="1">
      <alignment horizontal="left" vertical="center"/>
    </xf>
    <xf numFmtId="0" fontId="30" fillId="0" borderId="1" xfId="0" applyFont="1" applyBorder="1" applyAlignment="1">
      <alignment horizontal="left" vertical="center"/>
    </xf>
    <xf numFmtId="164" fontId="29" fillId="18" borderId="1" xfId="0" applyNumberFormat="1" applyFont="1" applyFill="1" applyBorder="1" applyAlignment="1">
      <alignment horizontal="right" vertical="center"/>
    </xf>
    <xf numFmtId="164" fontId="29" fillId="8" borderId="1" xfId="0" applyNumberFormat="1" applyFont="1" applyFill="1" applyBorder="1" applyAlignment="1">
      <alignment horizontal="right" vertical="center"/>
    </xf>
    <xf numFmtId="164" fontId="29" fillId="16" borderId="1" xfId="0" applyNumberFormat="1" applyFont="1" applyFill="1" applyBorder="1" applyAlignment="1">
      <alignment horizontal="right" vertical="center"/>
    </xf>
    <xf numFmtId="173" fontId="29" fillId="8" borderId="10" xfId="0" applyNumberFormat="1" applyFont="1" applyFill="1" applyBorder="1" applyAlignment="1">
      <alignment horizontal="right" vertical="center"/>
    </xf>
    <xf numFmtId="0" fontId="0" fillId="0" borderId="16" xfId="0" applyBorder="1"/>
    <xf numFmtId="0" fontId="0" fillId="0" borderId="17" xfId="0" applyBorder="1"/>
    <xf numFmtId="0" fontId="25" fillId="13" borderId="0" xfId="0" applyFont="1" applyFill="1" applyAlignment="1">
      <alignment horizontal="center" vertical="center"/>
    </xf>
    <xf numFmtId="166" fontId="29" fillId="16" borderId="1" xfId="0" applyNumberFormat="1" applyFont="1" applyFill="1" applyBorder="1" applyAlignment="1">
      <alignment horizontal="right" vertical="center"/>
    </xf>
    <xf numFmtId="173" fontId="29" fillId="8" borderId="1" xfId="0" applyNumberFormat="1" applyFont="1" applyFill="1" applyBorder="1" applyAlignment="1">
      <alignment horizontal="right" vertical="center"/>
    </xf>
    <xf numFmtId="166" fontId="29" fillId="8" borderId="1" xfId="0" applyNumberFormat="1" applyFont="1" applyFill="1" applyBorder="1" applyAlignment="1">
      <alignment horizontal="right" vertical="center"/>
    </xf>
    <xf numFmtId="0" fontId="31" fillId="16" borderId="1" xfId="0" applyFont="1" applyFill="1" applyBorder="1" applyAlignment="1">
      <alignment horizontal="center" vertical="center"/>
    </xf>
    <xf numFmtId="0" fontId="26" fillId="0" borderId="0" xfId="0" applyFont="1" applyAlignment="1">
      <alignment horizontal="center" vertical="center"/>
    </xf>
    <xf numFmtId="164" fontId="29" fillId="17" borderId="1" xfId="0" applyNumberFormat="1" applyFont="1" applyFill="1" applyBorder="1" applyAlignment="1">
      <alignment horizontal="right" vertical="center"/>
    </xf>
    <xf numFmtId="0" fontId="32" fillId="0" borderId="0" xfId="0" applyFont="1" applyAlignment="1">
      <alignment vertical="center" wrapText="1"/>
    </xf>
    <xf numFmtId="173" fontId="29" fillId="16" borderId="1" xfId="0" applyNumberFormat="1" applyFont="1" applyFill="1" applyBorder="1" applyAlignment="1">
      <alignment horizontal="right" vertical="center"/>
    </xf>
    <xf numFmtId="174" fontId="29" fillId="8" borderId="1" xfId="0" applyNumberFormat="1" applyFont="1" applyFill="1" applyBorder="1" applyAlignment="1">
      <alignment horizontal="right" vertical="center"/>
    </xf>
    <xf numFmtId="173" fontId="31" fillId="15" borderId="1" xfId="0" applyNumberFormat="1" applyFont="1" applyFill="1" applyBorder="1" applyAlignment="1">
      <alignment horizontal="right" vertical="center"/>
    </xf>
    <xf numFmtId="175" fontId="29" fillId="8" borderId="1" xfId="0" applyNumberFormat="1" applyFont="1" applyFill="1" applyBorder="1" applyAlignment="1">
      <alignment horizontal="right" vertical="center"/>
    </xf>
    <xf numFmtId="0" fontId="28" fillId="0" borderId="0" xfId="0" applyFont="1" applyAlignment="1">
      <alignment horizontal="left" vertical="center"/>
    </xf>
    <xf numFmtId="173" fontId="29" fillId="18" borderId="1" xfId="0" applyNumberFormat="1" applyFont="1" applyFill="1" applyBorder="1" applyAlignment="1">
      <alignment horizontal="right" vertical="center"/>
    </xf>
    <xf numFmtId="166" fontId="29" fillId="18" borderId="1" xfId="0" applyNumberFormat="1" applyFont="1" applyFill="1" applyBorder="1" applyAlignment="1">
      <alignment horizontal="right" vertical="center"/>
    </xf>
    <xf numFmtId="174" fontId="29" fillId="24" borderId="18" xfId="0" applyNumberFormat="1" applyFont="1" applyFill="1" applyBorder="1" applyAlignment="1">
      <alignment horizontal="right" vertical="center"/>
    </xf>
    <xf numFmtId="0" fontId="0" fillId="0" borderId="19" xfId="0" applyBorder="1"/>
    <xf numFmtId="0" fontId="0" fillId="0" borderId="20" xfId="0" applyBorder="1"/>
    <xf numFmtId="0" fontId="40" fillId="0" borderId="1" xfId="0" applyFont="1" applyBorder="1" applyAlignment="1">
      <alignment horizontal="left" vertical="center" wrapText="1"/>
    </xf>
    <xf numFmtId="0" fontId="43" fillId="20" borderId="1" xfId="0" applyFont="1" applyFill="1" applyBorder="1" applyAlignment="1">
      <alignment horizontal="left" vertical="center"/>
    </xf>
    <xf numFmtId="0" fontId="28" fillId="20" borderId="1" xfId="0" applyFont="1" applyFill="1" applyBorder="1" applyAlignment="1">
      <alignment horizontal="left" vertical="center"/>
    </xf>
    <xf numFmtId="165" fontId="29" fillId="21" borderId="1" xfId="0" applyNumberFormat="1" applyFont="1" applyFill="1" applyBorder="1" applyAlignment="1">
      <alignment horizontal="right" vertical="center"/>
    </xf>
    <xf numFmtId="0" fontId="42" fillId="0" borderId="0" xfId="0" applyFont="1" applyAlignment="1">
      <alignment horizontal="left" vertical="center" wrapText="1"/>
    </xf>
    <xf numFmtId="178" fontId="41" fillId="22" borderId="1" xfId="0" applyNumberFormat="1" applyFont="1" applyFill="1" applyBorder="1" applyAlignment="1">
      <alignment horizontal="right" vertical="center"/>
    </xf>
    <xf numFmtId="0" fontId="42" fillId="0" borderId="0" xfId="0" applyFont="1" applyAlignment="1">
      <alignment horizontal="left" vertical="top" wrapText="1"/>
    </xf>
    <xf numFmtId="178" fontId="29" fillId="21" borderId="1" xfId="0" applyNumberFormat="1" applyFont="1" applyFill="1" applyBorder="1" applyAlignment="1">
      <alignment horizontal="right" vertical="center"/>
    </xf>
    <xf numFmtId="165" fontId="29" fillId="22" borderId="1" xfId="0" applyNumberFormat="1" applyFont="1" applyFill="1" applyBorder="1" applyAlignment="1">
      <alignment horizontal="right" vertical="center"/>
    </xf>
    <xf numFmtId="174" fontId="41" fillId="21" borderId="1" xfId="0" applyNumberFormat="1" applyFont="1" applyFill="1" applyBorder="1" applyAlignment="1">
      <alignment horizontal="right" vertical="center"/>
    </xf>
    <xf numFmtId="180" fontId="41" fillId="22" borderId="1" xfId="0" applyNumberFormat="1" applyFont="1" applyFill="1" applyBorder="1" applyAlignment="1">
      <alignment horizontal="right" vertical="center"/>
    </xf>
    <xf numFmtId="0" fontId="28" fillId="0" borderId="1" xfId="0" applyFont="1" applyBorder="1" applyAlignment="1">
      <alignment horizontal="left" vertical="center" wrapText="1"/>
    </xf>
    <xf numFmtId="0" fontId="27" fillId="14" borderId="0" xfId="0" applyFont="1" applyFill="1" applyAlignment="1">
      <alignment horizontal="center" vertical="center" wrapText="1"/>
    </xf>
    <xf numFmtId="178" fontId="29" fillId="22" borderId="1" xfId="0" applyNumberFormat="1" applyFont="1" applyFill="1" applyBorder="1" applyAlignment="1">
      <alignment horizontal="right" vertical="center"/>
    </xf>
    <xf numFmtId="0" fontId="42" fillId="0" borderId="0" xfId="0" applyFont="1" applyAlignment="1">
      <alignment horizontal="center" vertical="center"/>
    </xf>
    <xf numFmtId="178" fontId="41" fillId="21" borderId="1" xfId="0" applyNumberFormat="1" applyFont="1" applyFill="1" applyBorder="1" applyAlignment="1">
      <alignment horizontal="right" vertical="center"/>
    </xf>
    <xf numFmtId="179" fontId="41" fillId="22" borderId="1" xfId="0" applyNumberFormat="1" applyFont="1" applyFill="1" applyBorder="1" applyAlignment="1">
      <alignment horizontal="right" vertical="center"/>
    </xf>
    <xf numFmtId="0" fontId="41" fillId="0" borderId="0" xfId="0" applyFont="1" applyAlignment="1">
      <alignment horizontal="center" vertical="center"/>
    </xf>
    <xf numFmtId="14" fontId="28" fillId="20" borderId="1" xfId="0" applyNumberFormat="1" applyFont="1" applyFill="1" applyBorder="1" applyAlignment="1">
      <alignment horizontal="center" vertical="center"/>
    </xf>
    <xf numFmtId="0" fontId="34" fillId="0" borderId="0" xfId="0" applyFont="1" applyAlignment="1">
      <alignment vertical="center" wrapText="1"/>
    </xf>
    <xf numFmtId="0" fontId="33" fillId="19" borderId="0" xfId="0" applyFont="1" applyFill="1" applyAlignment="1">
      <alignment vertical="center" wrapText="1"/>
    </xf>
  </cellXfs>
  <cellStyles count="3">
    <cellStyle name="Currency" xfId="1" xr:uid="{00000000-0005-0000-0000-000001000000}"/>
    <cellStyle name="Excel Built-in 20% - Accent1" xfId="2" xr:uid="{00000000-0005-0000-0000-000002000000}"/>
    <cellStyle name="Normal" xfId="0" builtinId="0"/>
  </cellStyles>
  <dxfs count="8">
    <dxf>
      <font>
        <name val="Arial"/>
        <family val="2"/>
      </font>
      <fill>
        <patternFill>
          <bgColor rgb="FFFDE9E7"/>
        </patternFill>
      </fill>
    </dxf>
    <dxf>
      <font>
        <name val="Arial"/>
        <family val="2"/>
      </font>
      <fill>
        <patternFill>
          <bgColor rgb="FFFCE4D6"/>
        </patternFill>
      </fill>
    </dxf>
    <dxf>
      <font>
        <name val="Arial"/>
        <family val="2"/>
      </font>
      <fill>
        <patternFill>
          <bgColor rgb="FFD9E1F2"/>
        </patternFill>
      </fill>
    </dxf>
    <dxf>
      <font>
        <name val="Arial"/>
        <family val="2"/>
      </font>
      <fill>
        <patternFill>
          <bgColor rgb="FFE2F0D9"/>
        </patternFill>
      </fill>
    </dxf>
    <dxf>
      <font>
        <name val="Arial"/>
        <family val="2"/>
      </font>
      <fill>
        <patternFill>
          <bgColor rgb="FFDDEBF7"/>
        </patternFill>
      </fill>
    </dxf>
    <dxf>
      <font>
        <name val="Arial"/>
        <family val="2"/>
      </font>
      <fill>
        <patternFill>
          <bgColor rgb="FFFFF2CC"/>
        </patternFill>
      </fill>
    </dxf>
    <dxf>
      <font>
        <name val="Arial"/>
        <family val="2"/>
      </font>
      <fill>
        <patternFill>
          <bgColor rgb="FFFCE4D6"/>
        </patternFill>
      </fill>
    </dxf>
    <dxf>
      <font>
        <name val="Arial"/>
        <family val="2"/>
      </font>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8EFCF"/>
      <rgbColor rgb="FFFF00FF"/>
      <rgbColor rgb="FFEAF4E1"/>
      <rgbColor rgb="FFC00000"/>
      <rgbColor rgb="FF008000"/>
      <rgbColor rgb="FF000080"/>
      <rgbColor rgb="FFE7E6E6"/>
      <rgbColor rgb="FF800080"/>
      <rgbColor rgb="FF008080"/>
      <rgbColor rgb="FFB7B7B7"/>
      <rgbColor rgb="FF666666"/>
      <rgbColor rgb="FFC6E0B4"/>
      <rgbColor rgb="FFC0504D"/>
      <rgbColor rgb="FFFFF2CC"/>
      <rgbColor rgb="FFD9EAF7"/>
      <rgbColor rgb="FF660066"/>
      <rgbColor rgb="FFD9E1F2"/>
      <rgbColor rgb="FF0066CC"/>
      <rgbColor rgb="FFD0CECE"/>
      <rgbColor rgb="FF000080"/>
      <rgbColor rgb="FFFF00FF"/>
      <rgbColor rgb="FFFDEADA"/>
      <rgbColor rgb="FFF2F2F2"/>
      <rgbColor rgb="FF800080"/>
      <rgbColor rgb="FF800000"/>
      <rgbColor rgb="FF008080"/>
      <rgbColor rgb="FF0000FF"/>
      <rgbColor rgb="FF00B0F0"/>
      <rgbColor rgb="FFDDEBF7"/>
      <rgbColor rgb="FFE2F0D9"/>
      <rgbColor rgb="FFF8F1D1"/>
      <rgbColor rgb="FF9FBAD0"/>
      <rgbColor rgb="FFD9D9D9"/>
      <rgbColor rgb="FFB3B3B3"/>
      <rgbColor rgb="FFD6C28A"/>
      <rgbColor rgb="FF4F81BD"/>
      <rgbColor rgb="FF4BACC6"/>
      <rgbColor rgb="FF9BBB59"/>
      <rgbColor rgb="FFFCE4D6"/>
      <rgbColor rgb="FFF79646"/>
      <rgbColor rgb="FFFDE9E7"/>
      <rgbColor rgb="FF8064A2"/>
      <rgbColor rgb="FF8C8C8C"/>
      <rgbColor rgb="FF173F6D"/>
      <rgbColor rgb="FFDCE6F2"/>
      <rgbColor rgb="FF111111"/>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800" b="1">
                <a:solidFill>
                  <a:srgbClr val="000000"/>
                </a:solidFill>
                <a:latin typeface="Calibri"/>
                <a:ea typeface="Calibri"/>
                <a:cs typeface="Calibri"/>
              </a:rPr>
              <a:t>Annual Cost Comparison</a:t>
            </a:r>
          </a:p>
        </c:rich>
      </c:tx>
      <c:overlay val="0"/>
    </c:title>
    <c:autoTitleDeleted val="0"/>
    <c:plotArea>
      <c:layout/>
      <c:barChart>
        <c:barDir val="bar"/>
        <c:grouping val="clustered"/>
        <c:varyColors val="0"/>
        <c:ser>
          <c:idx val="0"/>
          <c:order val="0"/>
          <c:spPr>
            <a:solidFill>
              <a:srgbClr val="4F81BD"/>
            </a:solidFill>
            <a:ln w="0">
              <a:noFill/>
              <a:prstDash val="solid"/>
            </a:ln>
          </c:spPr>
          <c:invertIfNegative val="0"/>
          <c:dPt>
            <c:idx val="0"/>
            <c:invertIfNegative val="1"/>
            <c:bubble3D val="0"/>
            <c:spPr>
              <a:ln>
                <a:prstDash val="solid"/>
              </a:ln>
            </c:spPr>
            <c:extLst>
              <c:ext xmlns:c16="http://schemas.microsoft.com/office/drawing/2014/chart" uri="{C3380CC4-5D6E-409C-BE32-E72D297353CC}">
                <c16:uniqueId val="{00000001-F063-4C5E-9612-94C316200D91}"/>
              </c:ext>
            </c:extLst>
          </c:dPt>
          <c:dPt>
            <c:idx val="1"/>
            <c:invertIfNegative val="1"/>
            <c:bubble3D val="0"/>
            <c:spPr>
              <a:solidFill>
                <a:srgbClr val="C0504D"/>
              </a:solidFill>
              <a:ln w="0">
                <a:noFill/>
                <a:prstDash val="solid"/>
              </a:ln>
            </c:spPr>
            <c:extLst>
              <c:ext xmlns:c16="http://schemas.microsoft.com/office/drawing/2014/chart" uri="{C3380CC4-5D6E-409C-BE32-E72D297353CC}">
                <c16:uniqueId val="{00000003-F063-4C5E-9612-94C316200D91}"/>
              </c:ext>
            </c:extLst>
          </c:dPt>
          <c:dPt>
            <c:idx val="2"/>
            <c:invertIfNegative val="1"/>
            <c:bubble3D val="0"/>
            <c:spPr>
              <a:solidFill>
                <a:srgbClr val="9BBB59"/>
              </a:solidFill>
              <a:ln w="0">
                <a:noFill/>
                <a:prstDash val="solid"/>
              </a:ln>
            </c:spPr>
            <c:extLst>
              <c:ext xmlns:c16="http://schemas.microsoft.com/office/drawing/2014/chart" uri="{C3380CC4-5D6E-409C-BE32-E72D297353CC}">
                <c16:uniqueId val="{00000005-F063-4C5E-9612-94C316200D91}"/>
              </c:ext>
            </c:extLst>
          </c:dPt>
          <c:dLbls>
            <c:spPr>
              <a:noFill/>
              <a:ln>
                <a:noFill/>
                <a:prstDash val="solid"/>
              </a:ln>
            </c:spPr>
            <c:txPr>
              <a:bodyPr anchorCtr="1"/>
              <a:lstStyle/>
              <a:p>
                <a:pPr>
                  <a:defRPr sz="1000" b="0">
                    <a:solidFill>
                      <a:srgbClr val="000000"/>
                    </a:solidFill>
                    <a:latin typeface="Calibri"/>
                    <a:ea typeface="Calibri"/>
                    <a:cs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Capital_Recovery_Dashboard!$A$9:$A$11</c:f>
              <c:strCache>
                <c:ptCount val="3"/>
                <c:pt idx="0">
                  <c:v>Annual Government Cost</c:v>
                </c:pt>
                <c:pt idx="1">
                  <c:v>Annual Actual Vendor Cost</c:v>
                </c:pt>
                <c:pt idx="2">
                  <c:v>Annual Capital Recovered</c:v>
                </c:pt>
              </c:strCache>
            </c:strRef>
          </c:cat>
          <c:val>
            <c:numRef>
              <c:f>Capital_Recovery_Dashboard!$B$9:$B$11</c:f>
              <c:numCache>
                <c:formatCode>\$#,##0.00;[Red]"($"#,##0.00\);\-</c:formatCode>
                <c:ptCount val="3"/>
                <c:pt idx="0">
                  <c:v>3682873.4693877553</c:v>
                </c:pt>
                <c:pt idx="1">
                  <c:v>2578011.4285714282</c:v>
                </c:pt>
                <c:pt idx="2">
                  <c:v>1104862.0408163271</c:v>
                </c:pt>
              </c:numCache>
            </c:numRef>
          </c:val>
          <c:extLst>
            <c:ext xmlns:c16="http://schemas.microsoft.com/office/drawing/2014/chart" uri="{C3380CC4-5D6E-409C-BE32-E72D297353CC}">
              <c16:uniqueId val="{00000006-F063-4C5E-9612-94C316200D9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l"/>
        <c:title>
          <c:tx>
            <c:rich>
              <a:bodyPr/>
              <a:lstStyle/>
              <a:p>
                <a:r>
                  <a:rPr lang="en-US" sz="1000" b="1">
                    <a:solidFill>
                      <a:srgbClr val="000000"/>
                    </a:solidFill>
                    <a:latin typeface="Calibri"/>
                    <a:ea typeface="Calibri"/>
                    <a:cs typeface="Calibri"/>
                  </a:rPr>
                  <a:t>Annual Cost ($)</a:t>
                </a:r>
              </a:p>
            </c:rich>
          </c:tx>
          <c:overlay val="1"/>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majorGridlines>
          <c:spPr>
            <a:ln w="0">
              <a:solidFill>
                <a:srgbClr val="B3B3B3"/>
              </a:solidFill>
              <a:prstDash val="solid"/>
            </a:ln>
          </c:spPr>
        </c:majorGridlines>
        <c:title>
          <c:tx>
            <c:rich>
              <a:bodyPr/>
              <a:lstStyle/>
              <a:p>
                <a:r>
                  <a:rPr lang="en-US" sz="1000" b="1">
                    <a:solidFill>
                      <a:srgbClr val="000000"/>
                    </a:solidFill>
                    <a:latin typeface="Calibri"/>
                    <a:ea typeface="Calibri"/>
                    <a:cs typeface="Calibri"/>
                  </a:rPr>
                  <a:t>Metric</a:t>
                </a:r>
              </a:p>
            </c:rich>
          </c:tx>
          <c:overlay val="1"/>
        </c:title>
        <c:numFmt formatCode="\$#,##0.00;[Red]&quot;($&quot;#,##0.00\);\-" sourceLinked="1"/>
        <c:majorTickMark val="none"/>
        <c:minorTickMark val="none"/>
        <c:tickLblPos val="nextTo"/>
        <c:crossAx val="48650112"/>
        <c:crosses val="autoZero"/>
        <c:crossBetween val="between"/>
      </c:valAx>
    </c:plotArea>
    <c:legend>
      <c:legendPos val="r"/>
      <c:overlay val="0"/>
      <c:spPr>
        <a:noFill/>
        <a:ln w="0">
          <a:noFill/>
          <a:prstDash val="solid"/>
        </a:ln>
      </c:spPr>
      <c:txPr>
        <a:bodyPr anchorCtr="1"/>
        <a:lstStyle/>
        <a:p>
          <a:pPr>
            <a:defRPr sz="1000" b="0">
              <a:solidFill>
                <a:srgbClr val="000000"/>
              </a:solidFill>
              <a:latin typeface="Calibri"/>
              <a:ea typeface="Calibri"/>
              <a:cs typeface="Calibri"/>
            </a:defRPr>
          </a:pPr>
          <a:endParaRPr lang="en-US"/>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800" b="1">
                <a:solidFill>
                  <a:srgbClr val="000000"/>
                </a:solidFill>
                <a:latin typeface="Calibri"/>
                <a:ea typeface="Calibri"/>
                <a:cs typeface="Calibri"/>
              </a:rPr>
              <a:t>In-House vs Outsourced Cost</a:t>
            </a:r>
          </a:p>
        </c:rich>
      </c:tx>
      <c:overlay val="0"/>
    </c:title>
    <c:autoTitleDeleted val="0"/>
    <c:plotArea>
      <c:layout/>
      <c:barChart>
        <c:barDir val="col"/>
        <c:grouping val="clustered"/>
        <c:varyColors val="0"/>
        <c:ser>
          <c:idx val="0"/>
          <c:order val="0"/>
          <c:spPr>
            <a:solidFill>
              <a:srgbClr val="4F81BD"/>
            </a:solidFill>
            <a:ln w="0">
              <a:noFill/>
              <a:prstDash val="solid"/>
            </a:ln>
          </c:spPr>
          <c:invertIfNegative val="0"/>
          <c:dPt>
            <c:idx val="0"/>
            <c:invertIfNegative val="1"/>
            <c:bubble3D val="0"/>
            <c:spPr>
              <a:ln>
                <a:prstDash val="solid"/>
              </a:ln>
            </c:spPr>
            <c:extLst>
              <c:ext xmlns:c16="http://schemas.microsoft.com/office/drawing/2014/chart" uri="{C3380CC4-5D6E-409C-BE32-E72D297353CC}">
                <c16:uniqueId val="{00000001-1040-4C9B-BE0D-D4AE96F0B489}"/>
              </c:ext>
            </c:extLst>
          </c:dPt>
          <c:dPt>
            <c:idx val="1"/>
            <c:invertIfNegative val="1"/>
            <c:bubble3D val="0"/>
            <c:spPr>
              <a:solidFill>
                <a:srgbClr val="C0504D"/>
              </a:solidFill>
              <a:ln w="0">
                <a:noFill/>
                <a:prstDash val="solid"/>
              </a:ln>
            </c:spPr>
            <c:extLst>
              <c:ext xmlns:c16="http://schemas.microsoft.com/office/drawing/2014/chart" uri="{C3380CC4-5D6E-409C-BE32-E72D297353CC}">
                <c16:uniqueId val="{00000003-1040-4C9B-BE0D-D4AE96F0B489}"/>
              </c:ext>
            </c:extLst>
          </c:dPt>
          <c:dPt>
            <c:idx val="2"/>
            <c:invertIfNegative val="1"/>
            <c:bubble3D val="0"/>
            <c:spPr>
              <a:solidFill>
                <a:srgbClr val="9BBB59"/>
              </a:solidFill>
              <a:ln w="0">
                <a:noFill/>
                <a:prstDash val="solid"/>
              </a:ln>
            </c:spPr>
            <c:extLst>
              <c:ext xmlns:c16="http://schemas.microsoft.com/office/drawing/2014/chart" uri="{C3380CC4-5D6E-409C-BE32-E72D297353CC}">
                <c16:uniqueId val="{00000005-1040-4C9B-BE0D-D4AE96F0B489}"/>
              </c:ext>
            </c:extLst>
          </c:dPt>
          <c:dLbls>
            <c:spPr>
              <a:noFill/>
              <a:ln>
                <a:noFill/>
                <a:prstDash val="solid"/>
              </a:ln>
            </c:spPr>
            <c:txPr>
              <a:bodyPr anchorCtr="1"/>
              <a:lstStyle/>
              <a:p>
                <a:pPr>
                  <a:defRPr sz="1000" b="0">
                    <a:solidFill>
                      <a:srgbClr val="000000"/>
                    </a:solidFill>
                    <a:latin typeface="Calibri"/>
                    <a:ea typeface="Calibri"/>
                    <a:cs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GASQ_Dashboard!$A$3:$A$5</c:f>
              <c:strCache>
                <c:ptCount val="3"/>
                <c:pt idx="0">
                  <c:v>Cost Comparison</c:v>
                </c:pt>
                <c:pt idx="1">
                  <c:v>In-House TCO</c:v>
                </c:pt>
                <c:pt idx="2">
                  <c:v>Outsourced TCO</c:v>
                </c:pt>
              </c:strCache>
            </c:strRef>
          </c:cat>
          <c:val>
            <c:numRef>
              <c:f>GASQ_Dashboard!$B$3:$B$5</c:f>
              <c:numCache>
                <c:formatCode>\$#,##0.00</c:formatCode>
                <c:ptCount val="3"/>
                <c:pt idx="0" formatCode="General">
                  <c:v>0</c:v>
                </c:pt>
                <c:pt idx="1">
                  <c:v>995904</c:v>
                </c:pt>
                <c:pt idx="2">
                  <c:v>647457</c:v>
                </c:pt>
              </c:numCache>
            </c:numRef>
          </c:val>
          <c:extLst>
            <c:ext xmlns:c16="http://schemas.microsoft.com/office/drawing/2014/chart" uri="{C3380CC4-5D6E-409C-BE32-E72D297353CC}">
              <c16:uniqueId val="{00000006-1040-4C9B-BE0D-D4AE96F0B48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majorGridlines>
          <c:spPr>
            <a:ln w="0">
              <a:solidFill>
                <a:srgbClr val="B3B3B3"/>
              </a:solidFill>
              <a:prstDash val="solid"/>
            </a:ln>
          </c:spPr>
        </c:majorGridlines>
        <c:numFmt formatCode="General" sourceLinked="1"/>
        <c:majorTickMark val="none"/>
        <c:minorTickMark val="none"/>
        <c:tickLblPos val="nextTo"/>
        <c:crossAx val="48650112"/>
        <c:crosses val="autoZero"/>
        <c:crossBetween val="between"/>
      </c:valAx>
    </c:plotArea>
    <c:legend>
      <c:legendPos val="r"/>
      <c:overlay val="0"/>
      <c:spPr>
        <a:noFill/>
        <a:ln w="0">
          <a:noFill/>
          <a:prstDash val="solid"/>
        </a:ln>
      </c:spPr>
      <c:txPr>
        <a:bodyPr anchorCtr="1"/>
        <a:lstStyle/>
        <a:p>
          <a:pPr>
            <a:defRPr sz="1000" b="0">
              <a:solidFill>
                <a:srgbClr val="000000"/>
              </a:solidFill>
              <a:latin typeface="Calibri"/>
              <a:ea typeface="Calibri"/>
              <a:cs typeface="Calibri"/>
            </a:defRPr>
          </a:pPr>
          <a:endParaRPr lang="en-US"/>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800" b="1">
                <a:solidFill>
                  <a:srgbClr val="000000"/>
                </a:solidFill>
                <a:latin typeface="Calibri"/>
                <a:ea typeface="Calibri"/>
                <a:cs typeface="Calibri"/>
              </a:rPr>
              <a:t>Security Cost Breakdown</a:t>
            </a:r>
          </a:p>
        </c:rich>
      </c:tx>
      <c:overlay val="0"/>
    </c:title>
    <c:autoTitleDeleted val="0"/>
    <c:plotArea>
      <c:layout/>
      <c:pieChart>
        <c:varyColors val="1"/>
        <c:ser>
          <c:idx val="0"/>
          <c:order val="0"/>
          <c:spPr>
            <a:solidFill>
              <a:srgbClr val="4F81BD"/>
            </a:solidFill>
            <a:ln w="0">
              <a:noFill/>
              <a:prstDash val="solid"/>
            </a:ln>
          </c:spPr>
          <c:dPt>
            <c:idx val="0"/>
            <c:bubble3D val="0"/>
            <c:spPr>
              <a:ln>
                <a:prstDash val="solid"/>
              </a:ln>
            </c:spPr>
            <c:extLst>
              <c:ext xmlns:c16="http://schemas.microsoft.com/office/drawing/2014/chart" uri="{C3380CC4-5D6E-409C-BE32-E72D297353CC}">
                <c16:uniqueId val="{00000001-0736-4D04-85DB-EB19BDDEF9EA}"/>
              </c:ext>
            </c:extLst>
          </c:dPt>
          <c:dPt>
            <c:idx val="1"/>
            <c:bubble3D val="0"/>
            <c:spPr>
              <a:solidFill>
                <a:srgbClr val="C0504D"/>
              </a:solidFill>
              <a:ln w="0">
                <a:noFill/>
                <a:prstDash val="solid"/>
              </a:ln>
            </c:spPr>
            <c:extLst>
              <c:ext xmlns:c16="http://schemas.microsoft.com/office/drawing/2014/chart" uri="{C3380CC4-5D6E-409C-BE32-E72D297353CC}">
                <c16:uniqueId val="{00000003-0736-4D04-85DB-EB19BDDEF9EA}"/>
              </c:ext>
            </c:extLst>
          </c:dPt>
          <c:dPt>
            <c:idx val="2"/>
            <c:bubble3D val="0"/>
            <c:spPr>
              <a:solidFill>
                <a:srgbClr val="9BBB59"/>
              </a:solidFill>
              <a:ln w="0">
                <a:noFill/>
                <a:prstDash val="solid"/>
              </a:ln>
            </c:spPr>
            <c:extLst>
              <c:ext xmlns:c16="http://schemas.microsoft.com/office/drawing/2014/chart" uri="{C3380CC4-5D6E-409C-BE32-E72D297353CC}">
                <c16:uniqueId val="{00000005-0736-4D04-85DB-EB19BDDEF9EA}"/>
              </c:ext>
            </c:extLst>
          </c:dPt>
          <c:dPt>
            <c:idx val="3"/>
            <c:bubble3D val="0"/>
            <c:spPr>
              <a:solidFill>
                <a:srgbClr val="8064A2"/>
              </a:solidFill>
              <a:ln w="0">
                <a:noFill/>
                <a:prstDash val="solid"/>
              </a:ln>
            </c:spPr>
            <c:extLst>
              <c:ext xmlns:c16="http://schemas.microsoft.com/office/drawing/2014/chart" uri="{C3380CC4-5D6E-409C-BE32-E72D297353CC}">
                <c16:uniqueId val="{00000007-0736-4D04-85DB-EB19BDDEF9EA}"/>
              </c:ext>
            </c:extLst>
          </c:dPt>
          <c:dPt>
            <c:idx val="4"/>
            <c:bubble3D val="0"/>
            <c:spPr>
              <a:solidFill>
                <a:srgbClr val="4BACC6"/>
              </a:solidFill>
              <a:ln w="0">
                <a:noFill/>
                <a:prstDash val="solid"/>
              </a:ln>
            </c:spPr>
            <c:extLst>
              <c:ext xmlns:c16="http://schemas.microsoft.com/office/drawing/2014/chart" uri="{C3380CC4-5D6E-409C-BE32-E72D297353CC}">
                <c16:uniqueId val="{00000009-0736-4D04-85DB-EB19BDDEF9EA}"/>
              </c:ext>
            </c:extLst>
          </c:dPt>
          <c:dPt>
            <c:idx val="5"/>
            <c:bubble3D val="0"/>
            <c:spPr>
              <a:solidFill>
                <a:srgbClr val="F79646"/>
              </a:solidFill>
              <a:ln w="0">
                <a:noFill/>
                <a:prstDash val="solid"/>
              </a:ln>
            </c:spPr>
            <c:extLst>
              <c:ext xmlns:c16="http://schemas.microsoft.com/office/drawing/2014/chart" uri="{C3380CC4-5D6E-409C-BE32-E72D297353CC}">
                <c16:uniqueId val="{0000000B-0736-4D04-85DB-EB19BDDEF9EA}"/>
              </c:ext>
            </c:extLst>
          </c:dPt>
          <c:dLbls>
            <c:spPr>
              <a:noFill/>
              <a:ln>
                <a:noFill/>
                <a:prstDash val="solid"/>
              </a:ln>
            </c:spPr>
            <c:txPr>
              <a:bodyPr anchorCtr="1"/>
              <a:lstStyle/>
              <a:p>
                <a:pPr>
                  <a:defRPr sz="1000" b="0">
                    <a:solidFill>
                      <a:srgbClr val="000000"/>
                    </a:solidFill>
                    <a:latin typeface="Calibri"/>
                    <a:ea typeface="Calibri"/>
                    <a:cs typeface="Calibri"/>
                  </a:defRPr>
                </a:pPr>
                <a:endParaRPr lang="en-US"/>
              </a:p>
            </c:txPr>
            <c:showLegendKey val="0"/>
            <c:showVal val="0"/>
            <c:showCatName val="0"/>
            <c:showSerName val="0"/>
            <c:showPercent val="0"/>
            <c:showBubbleSize val="1"/>
            <c:showLeaderLines val="1"/>
            <c:extLst>
              <c:ext xmlns:c15="http://schemas.microsoft.com/office/drawing/2012/chart" uri="{CE6537A1-D6FC-4f65-9D91-7224C49458BB}"/>
            </c:extLst>
          </c:dLbls>
          <c:cat>
            <c:strRef>
              <c:f>GASQ_Dashboard!$A$10:$A$15</c:f>
              <c:strCache>
                <c:ptCount val="6"/>
                <c:pt idx="0">
                  <c:v>Direct Labor</c:v>
                </c:pt>
                <c:pt idx="1">
                  <c:v>Employer Burden</c:v>
                </c:pt>
                <c:pt idx="2">
                  <c:v>Workforce Maintenance</c:v>
                </c:pt>
                <c:pt idx="3">
                  <c:v>Training</c:v>
                </c:pt>
                <c:pt idx="4">
                  <c:v>Equipment</c:v>
                </c:pt>
                <c:pt idx="5">
                  <c:v>Admin</c:v>
                </c:pt>
              </c:strCache>
            </c:strRef>
          </c:cat>
          <c:val>
            <c:numRef>
              <c:f>GASQ_Dashboard!$B$10:$B$15</c:f>
              <c:numCache>
                <c:formatCode>\$#,##0.00</c:formatCode>
                <c:ptCount val="6"/>
                <c:pt idx="0">
                  <c:v>550000</c:v>
                </c:pt>
                <c:pt idx="1">
                  <c:v>300000</c:v>
                </c:pt>
                <c:pt idx="2">
                  <c:v>80000</c:v>
                </c:pt>
                <c:pt idx="3">
                  <c:v>30000</c:v>
                </c:pt>
                <c:pt idx="4">
                  <c:v>20000</c:v>
                </c:pt>
                <c:pt idx="5">
                  <c:v>15000</c:v>
                </c:pt>
              </c:numCache>
            </c:numRef>
          </c:val>
          <c:extLst>
            <c:ext xmlns:c16="http://schemas.microsoft.com/office/drawing/2014/chart" uri="{C3380CC4-5D6E-409C-BE32-E72D297353CC}">
              <c16:uniqueId val="{0000000C-0736-4D04-85DB-EB19BDDEF9EA}"/>
            </c:ext>
          </c:extLst>
        </c:ser>
        <c:dLbls>
          <c:showLegendKey val="0"/>
          <c:showVal val="0"/>
          <c:showCatName val="0"/>
          <c:showSerName val="0"/>
          <c:showPercent val="0"/>
          <c:showBubbleSize val="0"/>
          <c:showLeaderLines val="1"/>
        </c:dLbls>
        <c:firstSliceAng val="0"/>
      </c:pieChart>
    </c:plotArea>
    <c:legend>
      <c:legendPos val="r"/>
      <c:overlay val="1"/>
      <c:spPr>
        <a:noFill/>
        <a:ln w="0">
          <a:noFill/>
          <a:prstDash val="solid"/>
        </a:ln>
      </c:spPr>
      <c:txPr>
        <a:bodyPr anchorCtr="1"/>
        <a:lstStyle/>
        <a:p>
          <a:pPr>
            <a:defRPr sz="1000" b="0">
              <a:solidFill>
                <a:srgbClr val="000000"/>
              </a:solidFill>
              <a:latin typeface="Calibri"/>
              <a:ea typeface="Calibri"/>
              <a:cs typeface="Calibri"/>
            </a:defRPr>
          </a:pPr>
          <a:endParaRPr lang="en-US"/>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800" b="1">
                <a:solidFill>
                  <a:srgbClr val="000000"/>
                </a:solidFill>
                <a:latin typeface="Calibri"/>
                <a:ea typeface="Calibri"/>
                <a:cs typeface="Calibri"/>
              </a:rPr>
              <a:t>Capital Recovery Timeline</a:t>
            </a:r>
          </a:p>
        </c:rich>
      </c:tx>
      <c:overlay val="0"/>
    </c:title>
    <c:autoTitleDeleted val="0"/>
    <c:plotArea>
      <c:layout/>
      <c:lineChart>
        <c:grouping val="standard"/>
        <c:varyColors val="0"/>
        <c:ser>
          <c:idx val="0"/>
          <c:order val="0"/>
          <c:spPr>
            <a:ln w="0">
              <a:solidFill>
                <a:srgbClr val="FFFFFF"/>
              </a:solidFill>
              <a:prstDash val="solid"/>
            </a:ln>
          </c:spPr>
          <c:marker>
            <c:symbol val="none"/>
          </c:marker>
          <c:dPt>
            <c:idx val="0"/>
            <c:bubble3D val="0"/>
            <c:spPr>
              <a:ln>
                <a:prstDash val="solid"/>
              </a:ln>
            </c:spPr>
            <c:extLst>
              <c:ext xmlns:c16="http://schemas.microsoft.com/office/drawing/2014/chart" uri="{C3380CC4-5D6E-409C-BE32-E72D297353CC}">
                <c16:uniqueId val="{00000001-3DA9-43F4-8E57-C7F18EB96A80}"/>
              </c:ext>
            </c:extLst>
          </c:dPt>
          <c:dPt>
            <c:idx val="1"/>
            <c:bubble3D val="0"/>
            <c:spPr>
              <a:ln>
                <a:prstDash val="solid"/>
              </a:ln>
            </c:spPr>
            <c:extLst>
              <c:ext xmlns:c16="http://schemas.microsoft.com/office/drawing/2014/chart" uri="{C3380CC4-5D6E-409C-BE32-E72D297353CC}">
                <c16:uniqueId val="{00000003-3DA9-43F4-8E57-C7F18EB96A80}"/>
              </c:ext>
            </c:extLst>
          </c:dPt>
          <c:dPt>
            <c:idx val="2"/>
            <c:bubble3D val="0"/>
            <c:spPr>
              <a:ln>
                <a:prstDash val="solid"/>
              </a:ln>
            </c:spPr>
            <c:extLst>
              <c:ext xmlns:c16="http://schemas.microsoft.com/office/drawing/2014/chart" uri="{C3380CC4-5D6E-409C-BE32-E72D297353CC}">
                <c16:uniqueId val="{00000005-3DA9-43F4-8E57-C7F18EB96A80}"/>
              </c:ext>
            </c:extLst>
          </c:dPt>
          <c:dPt>
            <c:idx val="3"/>
            <c:bubble3D val="0"/>
            <c:spPr>
              <a:ln>
                <a:prstDash val="solid"/>
              </a:ln>
            </c:spPr>
            <c:extLst>
              <c:ext xmlns:c16="http://schemas.microsoft.com/office/drawing/2014/chart" uri="{C3380CC4-5D6E-409C-BE32-E72D297353CC}">
                <c16:uniqueId val="{00000007-3DA9-43F4-8E57-C7F18EB96A80}"/>
              </c:ext>
            </c:extLst>
          </c:dPt>
          <c:dPt>
            <c:idx val="4"/>
            <c:bubble3D val="0"/>
            <c:spPr>
              <a:ln>
                <a:prstDash val="solid"/>
              </a:ln>
            </c:spPr>
            <c:extLst>
              <c:ext xmlns:c16="http://schemas.microsoft.com/office/drawing/2014/chart" uri="{C3380CC4-5D6E-409C-BE32-E72D297353CC}">
                <c16:uniqueId val="{00000009-3DA9-43F4-8E57-C7F18EB96A80}"/>
              </c:ext>
            </c:extLst>
          </c:dPt>
          <c:dLbls>
            <c:spPr>
              <a:noFill/>
              <a:ln>
                <a:noFill/>
                <a:prstDash val="solid"/>
              </a:ln>
            </c:spPr>
            <c:txPr>
              <a:bodyPr anchorCtr="1"/>
              <a:lstStyle/>
              <a:p>
                <a:pPr>
                  <a:defRPr sz="1000" b="0">
                    <a:solidFill>
                      <a:srgbClr val="000000"/>
                    </a:solidFill>
                    <a:latin typeface="Calibri"/>
                    <a:ea typeface="Calibri"/>
                    <a:cs typeface="Calibri"/>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GASQ_Dashboard!$A$24:$A$28</c:f>
              <c:numCache>
                <c:formatCode>General</c:formatCode>
                <c:ptCount val="5"/>
                <c:pt idx="0">
                  <c:v>1</c:v>
                </c:pt>
                <c:pt idx="1">
                  <c:v>3</c:v>
                </c:pt>
                <c:pt idx="2">
                  <c:v>6</c:v>
                </c:pt>
                <c:pt idx="3">
                  <c:v>8</c:v>
                </c:pt>
                <c:pt idx="4">
                  <c:v>12</c:v>
                </c:pt>
              </c:numCache>
            </c:numRef>
          </c:cat>
          <c:val>
            <c:numRef>
              <c:f>GASQ_Dashboard!$B$24:$B$28</c:f>
              <c:numCache>
                <c:formatCode>\$#,##0.00</c:formatCode>
                <c:ptCount val="5"/>
                <c:pt idx="0">
                  <c:v>29000</c:v>
                </c:pt>
                <c:pt idx="1">
                  <c:v>87000</c:v>
                </c:pt>
                <c:pt idx="2">
                  <c:v>174000</c:v>
                </c:pt>
                <c:pt idx="3">
                  <c:v>232000</c:v>
                </c:pt>
                <c:pt idx="4">
                  <c:v>348447</c:v>
                </c:pt>
              </c:numCache>
            </c:numRef>
          </c:val>
          <c:smooth val="1"/>
          <c:extLst>
            <c:ext xmlns:c16="http://schemas.microsoft.com/office/drawing/2014/chart" uri="{C3380CC4-5D6E-409C-BE32-E72D297353CC}">
              <c16:uniqueId val="{0000000A-3DA9-43F4-8E57-C7F18EB96A8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majorGridlines>
          <c:spPr>
            <a:ln w="0">
              <a:solidFill>
                <a:srgbClr val="B3B3B3"/>
              </a:solidFill>
              <a:prstDash val="solid"/>
            </a:ln>
          </c:spPr>
        </c:majorGridlines>
        <c:numFmt formatCode="\$#,##0.00" sourceLinked="1"/>
        <c:majorTickMark val="none"/>
        <c:minorTickMark val="none"/>
        <c:tickLblPos val="nextTo"/>
        <c:crossAx val="48650112"/>
        <c:crosses val="autoZero"/>
        <c:crossBetween val="between"/>
      </c:valAx>
    </c:plotArea>
    <c:legend>
      <c:legendPos val="r"/>
      <c:overlay val="0"/>
      <c:spPr>
        <a:noFill/>
        <a:ln w="0">
          <a:noFill/>
          <a:prstDash val="solid"/>
        </a:ln>
      </c:spPr>
      <c:txPr>
        <a:bodyPr anchorCtr="1"/>
        <a:lstStyle/>
        <a:p>
          <a:pPr>
            <a:defRPr sz="1000" b="0">
              <a:solidFill>
                <a:srgbClr val="000000"/>
              </a:solidFill>
              <a:latin typeface="Calibri"/>
              <a:ea typeface="Calibri"/>
              <a:cs typeface="Calibri"/>
            </a:defRPr>
          </a:pPr>
          <a:endParaRPr lang="en-US"/>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800" b="1">
                <a:solidFill>
                  <a:srgbClr val="000000"/>
                </a:solidFill>
                <a:latin typeface="Calibri"/>
                <a:ea typeface="Calibri"/>
                <a:cs typeface="Calibri"/>
              </a:rPr>
              <a:t>Vendor Price Evaluation Range</a:t>
            </a:r>
          </a:p>
        </c:rich>
      </c:tx>
      <c:overlay val="0"/>
    </c:title>
    <c:autoTitleDeleted val="0"/>
    <c:plotArea>
      <c:layout/>
      <c:barChart>
        <c:barDir val="col"/>
        <c:grouping val="clustered"/>
        <c:varyColors val="0"/>
        <c:ser>
          <c:idx val="0"/>
          <c:order val="0"/>
          <c:spPr>
            <a:solidFill>
              <a:srgbClr val="4F81BD"/>
            </a:solidFill>
            <a:ln w="0">
              <a:noFill/>
              <a:prstDash val="solid"/>
            </a:ln>
          </c:spPr>
          <c:invertIfNegative val="0"/>
          <c:dPt>
            <c:idx val="0"/>
            <c:invertIfNegative val="1"/>
            <c:bubble3D val="0"/>
            <c:spPr>
              <a:ln>
                <a:prstDash val="solid"/>
              </a:ln>
            </c:spPr>
            <c:extLst>
              <c:ext xmlns:c16="http://schemas.microsoft.com/office/drawing/2014/chart" uri="{C3380CC4-5D6E-409C-BE32-E72D297353CC}">
                <c16:uniqueId val="{00000001-AA84-4EDB-B1A7-9DDC3B67258C}"/>
              </c:ext>
            </c:extLst>
          </c:dPt>
          <c:dPt>
            <c:idx val="1"/>
            <c:invertIfNegative val="1"/>
            <c:bubble3D val="0"/>
            <c:spPr>
              <a:solidFill>
                <a:srgbClr val="C0504D"/>
              </a:solidFill>
              <a:ln w="0">
                <a:noFill/>
                <a:prstDash val="solid"/>
              </a:ln>
            </c:spPr>
            <c:extLst>
              <c:ext xmlns:c16="http://schemas.microsoft.com/office/drawing/2014/chart" uri="{C3380CC4-5D6E-409C-BE32-E72D297353CC}">
                <c16:uniqueId val="{00000003-AA84-4EDB-B1A7-9DDC3B67258C}"/>
              </c:ext>
            </c:extLst>
          </c:dPt>
          <c:dPt>
            <c:idx val="2"/>
            <c:invertIfNegative val="1"/>
            <c:bubble3D val="0"/>
            <c:spPr>
              <a:solidFill>
                <a:srgbClr val="9BBB59"/>
              </a:solidFill>
              <a:ln w="0">
                <a:noFill/>
                <a:prstDash val="solid"/>
              </a:ln>
            </c:spPr>
            <c:extLst>
              <c:ext xmlns:c16="http://schemas.microsoft.com/office/drawing/2014/chart" uri="{C3380CC4-5D6E-409C-BE32-E72D297353CC}">
                <c16:uniqueId val="{00000005-AA84-4EDB-B1A7-9DDC3B67258C}"/>
              </c:ext>
            </c:extLst>
          </c:dPt>
          <c:dLbls>
            <c:spPr>
              <a:noFill/>
              <a:ln>
                <a:noFill/>
                <a:prstDash val="solid"/>
              </a:ln>
            </c:spPr>
            <c:txPr>
              <a:bodyPr anchorCtr="1"/>
              <a:lstStyle/>
              <a:p>
                <a:pPr>
                  <a:defRPr sz="1000" b="0">
                    <a:solidFill>
                      <a:srgbClr val="000000"/>
                    </a:solidFill>
                    <a:latin typeface="Calibri"/>
                    <a:ea typeface="Calibri"/>
                    <a:cs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Advanced_Dashboard!$A$3:$A$5</c:f>
              <c:strCache>
                <c:ptCount val="3"/>
                <c:pt idx="0">
                  <c:v>Vendor Price Evaluation</c:v>
                </c:pt>
                <c:pt idx="1">
                  <c:v>Floor</c:v>
                </c:pt>
                <c:pt idx="2">
                  <c:v>Target</c:v>
                </c:pt>
              </c:strCache>
            </c:strRef>
          </c:cat>
          <c:val>
            <c:numRef>
              <c:f>Advanced_Dashboard!$B$3:$B$5</c:f>
              <c:numCache>
                <c:formatCode>\$#,##0.00</c:formatCode>
                <c:ptCount val="3"/>
                <c:pt idx="0" formatCode="General">
                  <c:v>0</c:v>
                </c:pt>
                <c:pt idx="1">
                  <c:v>40</c:v>
                </c:pt>
                <c:pt idx="2">
                  <c:v>50</c:v>
                </c:pt>
              </c:numCache>
            </c:numRef>
          </c:val>
          <c:extLst>
            <c:ext xmlns:c16="http://schemas.microsoft.com/office/drawing/2014/chart" uri="{C3380CC4-5D6E-409C-BE32-E72D297353CC}">
              <c16:uniqueId val="{00000006-AA84-4EDB-B1A7-9DDC3B67258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majorGridlines>
          <c:spPr>
            <a:ln w="0">
              <a:solidFill>
                <a:srgbClr val="B3B3B3"/>
              </a:solidFill>
              <a:prstDash val="solid"/>
            </a:ln>
          </c:spPr>
        </c:majorGridlines>
        <c:numFmt formatCode="General" sourceLinked="1"/>
        <c:majorTickMark val="none"/>
        <c:minorTickMark val="none"/>
        <c:tickLblPos val="nextTo"/>
        <c:crossAx val="48650112"/>
        <c:crosses val="autoZero"/>
        <c:crossBetween val="between"/>
      </c:valAx>
    </c:plotArea>
    <c:legend>
      <c:legendPos val="r"/>
      <c:overlay val="0"/>
      <c:spPr>
        <a:noFill/>
        <a:ln w="0">
          <a:noFill/>
          <a:prstDash val="solid"/>
        </a:ln>
      </c:spPr>
      <c:txPr>
        <a:bodyPr anchorCtr="1"/>
        <a:lstStyle/>
        <a:p>
          <a:pPr>
            <a:defRPr sz="1000" b="0">
              <a:solidFill>
                <a:srgbClr val="000000"/>
              </a:solidFill>
              <a:latin typeface="Calibri"/>
              <a:ea typeface="Calibri"/>
              <a:cs typeface="Calibri"/>
            </a:defRPr>
          </a:pPr>
          <a:endParaRPr lang="en-US"/>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800" b="1">
                <a:solidFill>
                  <a:srgbClr val="000000"/>
                </a:solidFill>
                <a:latin typeface="Calibri"/>
                <a:ea typeface="Calibri"/>
                <a:cs typeface="Calibri"/>
              </a:rPr>
              <a:t>Workforce-to-Post Efficiency</a:t>
            </a:r>
          </a:p>
        </c:rich>
      </c:tx>
      <c:overlay val="0"/>
    </c:title>
    <c:autoTitleDeleted val="0"/>
    <c:plotArea>
      <c:layout/>
      <c:barChart>
        <c:barDir val="col"/>
        <c:grouping val="clustered"/>
        <c:varyColors val="0"/>
        <c:ser>
          <c:idx val="0"/>
          <c:order val="0"/>
          <c:spPr>
            <a:solidFill>
              <a:srgbClr val="4F81BD"/>
            </a:solidFill>
            <a:ln w="0">
              <a:noFill/>
              <a:prstDash val="solid"/>
            </a:ln>
          </c:spPr>
          <c:invertIfNegative val="0"/>
          <c:dPt>
            <c:idx val="0"/>
            <c:invertIfNegative val="1"/>
            <c:bubble3D val="0"/>
            <c:extLst>
              <c:ext xmlns:c16="http://schemas.microsoft.com/office/drawing/2014/chart" uri="{C3380CC4-5D6E-409C-BE32-E72D297353CC}">
                <c16:uniqueId val="{00000001-9393-4F09-A7BF-506A8F9C46B5}"/>
              </c:ext>
            </c:extLst>
          </c:dPt>
          <c:dPt>
            <c:idx val="1"/>
            <c:invertIfNegative val="1"/>
            <c:bubble3D val="0"/>
            <c:spPr>
              <a:solidFill>
                <a:srgbClr val="C0504D"/>
              </a:solidFill>
              <a:ln w="0">
                <a:noFill/>
                <a:prstDash val="solid"/>
              </a:ln>
            </c:spPr>
            <c:extLst>
              <c:ext xmlns:c16="http://schemas.microsoft.com/office/drawing/2014/chart" uri="{C3380CC4-5D6E-409C-BE32-E72D297353CC}">
                <c16:uniqueId val="{00000003-9393-4F09-A7BF-506A8F9C46B5}"/>
              </c:ext>
            </c:extLst>
          </c:dPt>
          <c:dPt>
            <c:idx val="2"/>
            <c:invertIfNegative val="1"/>
            <c:bubble3D val="0"/>
            <c:spPr>
              <a:solidFill>
                <a:srgbClr val="9BBB59"/>
              </a:solidFill>
              <a:ln w="0">
                <a:noFill/>
                <a:prstDash val="solid"/>
              </a:ln>
            </c:spPr>
            <c:extLst>
              <c:ext xmlns:c16="http://schemas.microsoft.com/office/drawing/2014/chart" uri="{C3380CC4-5D6E-409C-BE32-E72D297353CC}">
                <c16:uniqueId val="{00000005-9393-4F09-A7BF-506A8F9C46B5}"/>
              </c:ext>
            </c:extLst>
          </c:dPt>
          <c:dLbls>
            <c:spPr>
              <a:noFill/>
              <a:ln>
                <a:noFill/>
                <a:prstDash val="solid"/>
              </a:ln>
            </c:spPr>
            <c:txPr>
              <a:bodyPr anchorCtr="1"/>
              <a:lstStyle/>
              <a:p>
                <a:pPr>
                  <a:defRPr sz="1000" b="0">
                    <a:solidFill>
                      <a:srgbClr val="000000"/>
                    </a:solidFill>
                    <a:latin typeface="Calibri"/>
                    <a:ea typeface="Calibri"/>
                    <a:cs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Advanced_Dashboard!$A$10:$A$12</c:f>
              <c:strCache>
                <c:ptCount val="3"/>
                <c:pt idx="0">
                  <c:v>Hours Worked</c:v>
                </c:pt>
                <c:pt idx="1">
                  <c:v>Paid Not Worked</c:v>
                </c:pt>
                <c:pt idx="2">
                  <c:v>Training Hours</c:v>
                </c:pt>
              </c:strCache>
            </c:strRef>
          </c:cat>
          <c:val>
            <c:numRef>
              <c:f>Advanced_Dashboard!$B$10:$B$12</c:f>
              <c:numCache>
                <c:formatCode>General</c:formatCode>
                <c:ptCount val="3"/>
                <c:pt idx="0">
                  <c:v>2080</c:v>
                </c:pt>
                <c:pt idx="1">
                  <c:v>624</c:v>
                </c:pt>
                <c:pt idx="2">
                  <c:v>80</c:v>
                </c:pt>
              </c:numCache>
            </c:numRef>
          </c:val>
          <c:extLst>
            <c:ext xmlns:c16="http://schemas.microsoft.com/office/drawing/2014/chart" uri="{C3380CC4-5D6E-409C-BE32-E72D297353CC}">
              <c16:uniqueId val="{00000006-9393-4F09-A7BF-506A8F9C46B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majorGridlines>
          <c:spPr>
            <a:ln w="0">
              <a:solidFill>
                <a:srgbClr val="B3B3B3"/>
              </a:solidFill>
              <a:prstDash val="solid"/>
            </a:ln>
          </c:spPr>
        </c:majorGridlines>
        <c:numFmt formatCode="General" sourceLinked="1"/>
        <c:majorTickMark val="none"/>
        <c:minorTickMark val="none"/>
        <c:tickLblPos val="nextTo"/>
        <c:crossAx val="48650112"/>
        <c:crosses val="autoZero"/>
        <c:crossBetween val="between"/>
      </c:valAx>
    </c:plotArea>
    <c:legend>
      <c:legendPos val="r"/>
      <c:overlay val="0"/>
      <c:spPr>
        <a:noFill/>
        <a:ln w="0">
          <a:noFill/>
          <a:prstDash val="solid"/>
        </a:ln>
      </c:spPr>
      <c:txPr>
        <a:bodyPr anchorCtr="1"/>
        <a:lstStyle/>
        <a:p>
          <a:pPr>
            <a:defRPr sz="1000" b="0">
              <a:solidFill>
                <a:srgbClr val="000000"/>
              </a:solidFill>
              <a:latin typeface="Calibri"/>
              <a:ea typeface="Calibri"/>
              <a:cs typeface="Calibri"/>
            </a:defRPr>
          </a:pPr>
          <a:endParaRPr lang="en-US"/>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800" b="1">
                <a:solidFill>
                  <a:srgbClr val="000000"/>
                </a:solidFill>
                <a:latin typeface="Calibri"/>
                <a:ea typeface="Calibri"/>
                <a:cs typeface="Calibri"/>
              </a:rPr>
              <a:t>Cost Distribution by Post</a:t>
            </a:r>
          </a:p>
        </c:rich>
      </c:tx>
      <c:overlay val="0"/>
    </c:title>
    <c:autoTitleDeleted val="0"/>
    <c:plotArea>
      <c:layout/>
      <c:barChart>
        <c:barDir val="col"/>
        <c:grouping val="clustered"/>
        <c:varyColors val="0"/>
        <c:ser>
          <c:idx val="0"/>
          <c:order val="0"/>
          <c:spPr>
            <a:solidFill>
              <a:srgbClr val="4F81BD"/>
            </a:solidFill>
            <a:ln w="0">
              <a:noFill/>
              <a:prstDash val="solid"/>
            </a:ln>
          </c:spPr>
          <c:invertIfNegative val="0"/>
          <c:dLbls>
            <c:spPr>
              <a:noFill/>
              <a:ln>
                <a:noFill/>
                <a:prstDash val="solid"/>
              </a:ln>
            </c:spPr>
            <c:txPr>
              <a:bodyPr anchorCtr="1"/>
              <a:lstStyle/>
              <a:p>
                <a:pPr>
                  <a:defRPr sz="1000" b="0">
                    <a:solidFill>
                      <a:srgbClr val="000000"/>
                    </a:solidFill>
                    <a:latin typeface="Calibri"/>
                    <a:ea typeface="Calibri"/>
                    <a:cs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Advanced_Dashboard!$A$17:$A$19</c:f>
              <c:strCache>
                <c:ptCount val="3"/>
                <c:pt idx="0">
                  <c:v>Gate</c:v>
                </c:pt>
                <c:pt idx="1">
                  <c:v>Patrol</c:v>
                </c:pt>
                <c:pt idx="2">
                  <c:v>Supervisor</c:v>
                </c:pt>
              </c:strCache>
            </c:strRef>
          </c:cat>
          <c:val>
            <c:numRef>
              <c:f>Advanced_Dashboard!$B$17:$B$19</c:f>
              <c:numCache>
                <c:formatCode>\$#,##0.00</c:formatCode>
                <c:ptCount val="3"/>
                <c:pt idx="0">
                  <c:v>120000</c:v>
                </c:pt>
                <c:pt idx="1">
                  <c:v>150000</c:v>
                </c:pt>
                <c:pt idx="2">
                  <c:v>90000</c:v>
                </c:pt>
              </c:numCache>
            </c:numRef>
          </c:val>
          <c:extLst>
            <c:ext xmlns:c16="http://schemas.microsoft.com/office/drawing/2014/chart" uri="{C3380CC4-5D6E-409C-BE32-E72D297353CC}">
              <c16:uniqueId val="{00000000-CB9F-4FBA-9782-088B51B9E6FB}"/>
            </c:ext>
          </c:extLst>
        </c:ser>
        <c:ser>
          <c:idx val="1"/>
          <c:order val="1"/>
          <c:spPr>
            <a:solidFill>
              <a:srgbClr val="C0504D"/>
            </a:solidFill>
            <a:ln w="0">
              <a:noFill/>
              <a:prstDash val="solid"/>
            </a:ln>
          </c:spPr>
          <c:invertIfNegative val="0"/>
          <c:dLbls>
            <c:spPr>
              <a:noFill/>
              <a:ln>
                <a:noFill/>
                <a:prstDash val="solid"/>
              </a:ln>
            </c:spPr>
            <c:txPr>
              <a:bodyPr anchorCtr="1"/>
              <a:lstStyle/>
              <a:p>
                <a:pPr>
                  <a:defRPr sz="1000" b="0">
                    <a:solidFill>
                      <a:srgbClr val="000000"/>
                    </a:solidFill>
                    <a:latin typeface="Calibri"/>
                    <a:ea typeface="Calibri"/>
                    <a:cs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Advanced_Dashboard!$A$17:$A$19</c:f>
              <c:strCache>
                <c:ptCount val="3"/>
                <c:pt idx="0">
                  <c:v>Gate</c:v>
                </c:pt>
                <c:pt idx="1">
                  <c:v>Patrol</c:v>
                </c:pt>
                <c:pt idx="2">
                  <c:v>Supervisor</c:v>
                </c:pt>
              </c:strCache>
            </c:strRef>
          </c:cat>
          <c:val>
            <c:numRef>
              <c:f>Advanced_Dashboard!$C$17:$C$19</c:f>
              <c:numCache>
                <c:formatCode>\$#,##0.00</c:formatCode>
                <c:ptCount val="3"/>
                <c:pt idx="0">
                  <c:v>5000</c:v>
                </c:pt>
                <c:pt idx="1">
                  <c:v>7000</c:v>
                </c:pt>
                <c:pt idx="2">
                  <c:v>4000</c:v>
                </c:pt>
              </c:numCache>
            </c:numRef>
          </c:val>
          <c:extLst>
            <c:ext xmlns:c16="http://schemas.microsoft.com/office/drawing/2014/chart" uri="{C3380CC4-5D6E-409C-BE32-E72D297353CC}">
              <c16:uniqueId val="{00000001-CB9F-4FBA-9782-088B51B9E6FB}"/>
            </c:ext>
          </c:extLst>
        </c:ser>
        <c:ser>
          <c:idx val="2"/>
          <c:order val="2"/>
          <c:spPr>
            <a:solidFill>
              <a:srgbClr val="9BBB59"/>
            </a:solidFill>
            <a:ln w="0">
              <a:noFill/>
              <a:prstDash val="solid"/>
            </a:ln>
          </c:spPr>
          <c:invertIfNegative val="0"/>
          <c:dLbls>
            <c:spPr>
              <a:noFill/>
              <a:ln>
                <a:noFill/>
                <a:prstDash val="solid"/>
              </a:ln>
            </c:spPr>
            <c:txPr>
              <a:bodyPr anchorCtr="1"/>
              <a:lstStyle/>
              <a:p>
                <a:pPr>
                  <a:defRPr sz="1000" b="0">
                    <a:solidFill>
                      <a:srgbClr val="000000"/>
                    </a:solidFill>
                    <a:latin typeface="Calibri"/>
                    <a:ea typeface="Calibri"/>
                    <a:cs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Advanced_Dashboard!$A$17:$A$19</c:f>
              <c:strCache>
                <c:ptCount val="3"/>
                <c:pt idx="0">
                  <c:v>Gate</c:v>
                </c:pt>
                <c:pt idx="1">
                  <c:v>Patrol</c:v>
                </c:pt>
                <c:pt idx="2">
                  <c:v>Supervisor</c:v>
                </c:pt>
              </c:strCache>
            </c:strRef>
          </c:cat>
          <c:val>
            <c:numRef>
              <c:f>Advanced_Dashboard!$D$17:$D$19</c:f>
              <c:numCache>
                <c:formatCode>\$#,##0.00</c:formatCode>
                <c:ptCount val="3"/>
                <c:pt idx="0">
                  <c:v>2000</c:v>
                </c:pt>
                <c:pt idx="1">
                  <c:v>2500</c:v>
                </c:pt>
                <c:pt idx="2">
                  <c:v>1500</c:v>
                </c:pt>
              </c:numCache>
            </c:numRef>
          </c:val>
          <c:extLst>
            <c:ext xmlns:c16="http://schemas.microsoft.com/office/drawing/2014/chart" uri="{C3380CC4-5D6E-409C-BE32-E72D297353CC}">
              <c16:uniqueId val="{00000002-CB9F-4FBA-9782-088B51B9E6F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majorGridlines>
          <c:spPr>
            <a:ln w="0">
              <a:solidFill>
                <a:srgbClr val="B3B3B3"/>
              </a:solidFill>
              <a:prstDash val="solid"/>
            </a:ln>
          </c:spPr>
        </c:majorGridlines>
        <c:numFmt formatCode="\$#,##0.00" sourceLinked="1"/>
        <c:majorTickMark val="none"/>
        <c:minorTickMark val="none"/>
        <c:tickLblPos val="nextTo"/>
        <c:crossAx val="48650112"/>
        <c:crosses val="autoZero"/>
        <c:crossBetween val="between"/>
      </c:valAx>
    </c:plotArea>
    <c:legend>
      <c:legendPos val="r"/>
      <c:overlay val="1"/>
      <c:spPr>
        <a:noFill/>
        <a:ln w="0">
          <a:noFill/>
          <a:prstDash val="solid"/>
        </a:ln>
      </c:spPr>
      <c:txPr>
        <a:bodyPr anchorCtr="1"/>
        <a:lstStyle/>
        <a:p>
          <a:pPr>
            <a:defRPr sz="1000" b="0">
              <a:solidFill>
                <a:srgbClr val="000000"/>
              </a:solidFill>
              <a:latin typeface="Calibri"/>
              <a:ea typeface="Calibri"/>
              <a:cs typeface="Calibri"/>
            </a:defRPr>
          </a:pPr>
          <a:endParaRPr lang="en-US"/>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800" b="1">
                <a:solidFill>
                  <a:srgbClr val="000000"/>
                </a:solidFill>
                <a:latin typeface="Calibri"/>
                <a:ea typeface="Calibri"/>
                <a:cs typeface="Calibri"/>
              </a:rPr>
              <a:t>Capital Recovery Meter</a:t>
            </a:r>
          </a:p>
        </c:rich>
      </c:tx>
      <c:overlay val="0"/>
    </c:title>
    <c:autoTitleDeleted val="0"/>
    <c:plotArea>
      <c:layout/>
      <c:doughnutChart>
        <c:varyColors val="1"/>
        <c:ser>
          <c:idx val="0"/>
          <c:order val="0"/>
          <c:spPr>
            <a:solidFill>
              <a:srgbClr val="4F81BD"/>
            </a:solidFill>
            <a:ln w="0">
              <a:noFill/>
              <a:prstDash val="solid"/>
            </a:ln>
          </c:spPr>
          <c:dPt>
            <c:idx val="0"/>
            <c:bubble3D val="0"/>
            <c:spPr>
              <a:ln>
                <a:prstDash val="solid"/>
              </a:ln>
            </c:spPr>
            <c:extLst>
              <c:ext xmlns:c16="http://schemas.microsoft.com/office/drawing/2014/chart" uri="{C3380CC4-5D6E-409C-BE32-E72D297353CC}">
                <c16:uniqueId val="{00000001-3C1E-4DF2-BF97-7B8A3AD33DA2}"/>
              </c:ext>
            </c:extLst>
          </c:dPt>
          <c:dPt>
            <c:idx val="1"/>
            <c:bubble3D val="0"/>
            <c:spPr>
              <a:solidFill>
                <a:srgbClr val="C0504D"/>
              </a:solidFill>
              <a:ln w="0">
                <a:noFill/>
                <a:prstDash val="solid"/>
              </a:ln>
            </c:spPr>
            <c:extLst>
              <c:ext xmlns:c16="http://schemas.microsoft.com/office/drawing/2014/chart" uri="{C3380CC4-5D6E-409C-BE32-E72D297353CC}">
                <c16:uniqueId val="{00000003-3C1E-4DF2-BF97-7B8A3AD33DA2}"/>
              </c:ext>
            </c:extLst>
          </c:dPt>
          <c:dLbls>
            <c:spPr>
              <a:noFill/>
              <a:ln>
                <a:noFill/>
                <a:prstDash val="solid"/>
              </a:ln>
            </c:spPr>
            <c:txPr>
              <a:bodyPr anchorCtr="1"/>
              <a:lstStyle/>
              <a:p>
                <a:pPr>
                  <a:defRPr sz="1000" b="0">
                    <a:solidFill>
                      <a:srgbClr val="000000"/>
                    </a:solidFill>
                    <a:latin typeface="Calibri"/>
                    <a:ea typeface="Calibri"/>
                    <a:cs typeface="Calibri"/>
                  </a:defRPr>
                </a:pPr>
                <a:endParaRPr lang="en-US"/>
              </a:p>
            </c:txPr>
            <c:showLegendKey val="0"/>
            <c:showVal val="1"/>
            <c:showCatName val="0"/>
            <c:showSerName val="0"/>
            <c:showPercent val="0"/>
            <c:showBubbleSize val="1"/>
            <c:showLeaderLines val="1"/>
            <c:extLst>
              <c:ext xmlns:c15="http://schemas.microsoft.com/office/drawing/2012/chart" uri="{CE6537A1-D6FC-4f65-9D91-7224C49458BB}"/>
            </c:extLst>
          </c:dLbls>
          <c:cat>
            <c:strRef>
              <c:f>Advanced_Dashboard!$A$24:$A$25</c:f>
              <c:strCache>
                <c:ptCount val="2"/>
                <c:pt idx="0">
                  <c:v>Recovered</c:v>
                </c:pt>
                <c:pt idx="1">
                  <c:v>Remaining</c:v>
                </c:pt>
              </c:strCache>
            </c:strRef>
          </c:cat>
          <c:val>
            <c:numRef>
              <c:f>Advanced_Dashboard!$B$24:$B$25</c:f>
              <c:numCache>
                <c:formatCode>\$#,##0.00</c:formatCode>
                <c:ptCount val="2"/>
                <c:pt idx="0">
                  <c:v>348447</c:v>
                </c:pt>
                <c:pt idx="1">
                  <c:v>647457</c:v>
                </c:pt>
              </c:numCache>
            </c:numRef>
          </c:val>
          <c:extLst>
            <c:ext xmlns:c16="http://schemas.microsoft.com/office/drawing/2014/chart" uri="{C3380CC4-5D6E-409C-BE32-E72D297353CC}">
              <c16:uniqueId val="{00000004-3C1E-4DF2-BF97-7B8A3AD33DA2}"/>
            </c:ext>
          </c:extLst>
        </c:ser>
        <c:dLbls>
          <c:showLegendKey val="0"/>
          <c:showVal val="0"/>
          <c:showCatName val="0"/>
          <c:showSerName val="0"/>
          <c:showPercent val="0"/>
          <c:showBubbleSize val="0"/>
          <c:showLeaderLines val="1"/>
        </c:dLbls>
        <c:firstSliceAng val="0"/>
        <c:holeSize val="50"/>
      </c:doughnutChart>
    </c:plotArea>
    <c:legend>
      <c:legendPos val="r"/>
      <c:overlay val="1"/>
      <c:spPr>
        <a:noFill/>
        <a:ln w="0">
          <a:noFill/>
          <a:prstDash val="solid"/>
        </a:ln>
      </c:spPr>
      <c:txPr>
        <a:bodyPr anchorCtr="1"/>
        <a:lstStyle/>
        <a:p>
          <a:pPr>
            <a:defRPr sz="1000" b="0">
              <a:solidFill>
                <a:srgbClr val="000000"/>
              </a:solidFill>
              <a:latin typeface="Calibri"/>
              <a:ea typeface="Calibri"/>
              <a:cs typeface="Calibri"/>
            </a:defRPr>
          </a:pPr>
          <a:endParaRPr lang="en-US"/>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830520</xdr:colOff>
      <xdr:row>4</xdr:row>
      <xdr:rowOff>30600</xdr:rowOff>
    </xdr:from>
    <xdr:to>
      <xdr:col>4</xdr:col>
      <xdr:colOff>1191240</xdr:colOff>
      <xdr:row>8</xdr:row>
      <xdr:rowOff>29520</xdr:rowOff>
    </xdr:to>
    <xdr:pic>
      <xdr:nvPicPr>
        <xdr:cNvPr id="2" name="/xl/media/image.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906840</xdr:colOff>
      <xdr:row>3</xdr:row>
      <xdr:rowOff>53280</xdr:rowOff>
    </xdr:from>
    <xdr:to>
      <xdr:col>4</xdr:col>
      <xdr:colOff>1267560</xdr:colOff>
      <xdr:row>7</xdr:row>
      <xdr:rowOff>52200</xdr:rowOff>
    </xdr:to>
    <xdr:pic>
      <xdr:nvPicPr>
        <xdr:cNvPr id="2" name="/xl/media/image2.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1028880</xdr:colOff>
      <xdr:row>3</xdr:row>
      <xdr:rowOff>175320</xdr:rowOff>
    </xdr:from>
    <xdr:to>
      <xdr:col>4</xdr:col>
      <xdr:colOff>2376360</xdr:colOff>
      <xdr:row>7</xdr:row>
      <xdr:rowOff>174600</xdr:rowOff>
    </xdr:to>
    <xdr:pic>
      <xdr:nvPicPr>
        <xdr:cNvPr id="2" name="/xl/media/image3.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23040</xdr:colOff>
      <xdr:row>4</xdr:row>
      <xdr:rowOff>228600</xdr:rowOff>
    </xdr:from>
    <xdr:to>
      <xdr:col>5</xdr:col>
      <xdr:colOff>23760</xdr:colOff>
      <xdr:row>8</xdr:row>
      <xdr:rowOff>227880</xdr:rowOff>
    </xdr:to>
    <xdr:pic>
      <xdr:nvPicPr>
        <xdr:cNvPr id="2" name="/xl/media/image4.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502920</xdr:colOff>
      <xdr:row>7</xdr:row>
      <xdr:rowOff>83820</xdr:rowOff>
    </xdr:from>
    <xdr:to>
      <xdr:col>6</xdr:col>
      <xdr:colOff>886680</xdr:colOff>
      <xdr:row>12</xdr:row>
      <xdr:rowOff>113400</xdr:rowOff>
    </xdr:to>
    <xdr:pic>
      <xdr:nvPicPr>
        <xdr:cNvPr id="2" name="/xl/media/image5.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6294120" y="1760220"/>
          <a:ext cx="2441160" cy="98208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7</xdr:col>
      <xdr:colOff>1206720</xdr:colOff>
      <xdr:row>3</xdr:row>
      <xdr:rowOff>113400</xdr:rowOff>
    </xdr:to>
    <xdr:pic>
      <xdr:nvPicPr>
        <xdr:cNvPr id="2" name="/xl/media/image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1044000</xdr:colOff>
      <xdr:row>6</xdr:row>
      <xdr:rowOff>45720</xdr:rowOff>
    </xdr:from>
    <xdr:to>
      <xdr:col>4</xdr:col>
      <xdr:colOff>2391480</xdr:colOff>
      <xdr:row>10</xdr:row>
      <xdr:rowOff>44640</xdr:rowOff>
    </xdr:to>
    <xdr:pic>
      <xdr:nvPicPr>
        <xdr:cNvPr id="2" name="/xl/media/image7.pn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716400</xdr:colOff>
      <xdr:row>7</xdr:row>
      <xdr:rowOff>7560</xdr:rowOff>
    </xdr:from>
    <xdr:to>
      <xdr:col>4</xdr:col>
      <xdr:colOff>1077120</xdr:colOff>
      <xdr:row>11</xdr:row>
      <xdr:rowOff>6480</xdr:rowOff>
    </xdr:to>
    <xdr:pic>
      <xdr:nvPicPr>
        <xdr:cNvPr id="2" name="/xl/media/image8.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114480</xdr:colOff>
      <xdr:row>3</xdr:row>
      <xdr:rowOff>205920</xdr:rowOff>
    </xdr:from>
    <xdr:to>
      <xdr:col>5</xdr:col>
      <xdr:colOff>107640</xdr:colOff>
      <xdr:row>7</xdr:row>
      <xdr:rowOff>205200</xdr:rowOff>
    </xdr:to>
    <xdr:pic>
      <xdr:nvPicPr>
        <xdr:cNvPr id="2" name="/xl/media/image10.pn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411480</xdr:colOff>
      <xdr:row>4</xdr:row>
      <xdr:rowOff>122040</xdr:rowOff>
    </xdr:from>
    <xdr:to>
      <xdr:col>5</xdr:col>
      <xdr:colOff>208440</xdr:colOff>
      <xdr:row>8</xdr:row>
      <xdr:rowOff>120960</xdr:rowOff>
    </xdr:to>
    <xdr:pic>
      <xdr:nvPicPr>
        <xdr:cNvPr id="2" name="/xl/media/image9.pn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464760</xdr:colOff>
      <xdr:row>3</xdr:row>
      <xdr:rowOff>76320</xdr:rowOff>
    </xdr:from>
    <xdr:to>
      <xdr:col>5</xdr:col>
      <xdr:colOff>261720</xdr:colOff>
      <xdr:row>7</xdr:row>
      <xdr:rowOff>75240</xdr:rowOff>
    </xdr:to>
    <xdr:pic>
      <xdr:nvPicPr>
        <xdr:cNvPr id="2" name="/xl/media/image11.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624960</xdr:colOff>
      <xdr:row>14</xdr:row>
      <xdr:rowOff>221040</xdr:rowOff>
    </xdr:from>
    <xdr:to>
      <xdr:col>4</xdr:col>
      <xdr:colOff>985680</xdr:colOff>
      <xdr:row>18</xdr:row>
      <xdr:rowOff>219960</xdr:rowOff>
    </xdr:to>
    <xdr:pic>
      <xdr:nvPicPr>
        <xdr:cNvPr id="2" name="/xl/media/image12.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663120</xdr:colOff>
      <xdr:row>6</xdr:row>
      <xdr:rowOff>213480</xdr:rowOff>
    </xdr:from>
    <xdr:to>
      <xdr:col>4</xdr:col>
      <xdr:colOff>1024200</xdr:colOff>
      <xdr:row>11</xdr:row>
      <xdr:rowOff>12600</xdr:rowOff>
    </xdr:to>
    <xdr:pic>
      <xdr:nvPicPr>
        <xdr:cNvPr id="2" name="/xl/media/image13.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1028880</xdr:colOff>
      <xdr:row>3</xdr:row>
      <xdr:rowOff>23040</xdr:rowOff>
    </xdr:from>
    <xdr:to>
      <xdr:col>5</xdr:col>
      <xdr:colOff>111600</xdr:colOff>
      <xdr:row>5</xdr:row>
      <xdr:rowOff>240840</xdr:rowOff>
    </xdr:to>
    <xdr:pic>
      <xdr:nvPicPr>
        <xdr:cNvPr id="2" name="/xl/media/image14.pn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99060</xdr:colOff>
      <xdr:row>11</xdr:row>
      <xdr:rowOff>322680</xdr:rowOff>
    </xdr:from>
    <xdr:to>
      <xdr:col>8</xdr:col>
      <xdr:colOff>1302180</xdr:colOff>
      <xdr:row>24</xdr:row>
      <xdr:rowOff>64440</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0</xdr:colOff>
      <xdr:row>2</xdr:row>
      <xdr:rowOff>0</xdr:rowOff>
    </xdr:from>
    <xdr:to>
      <xdr:col>12</xdr:col>
      <xdr:colOff>507240</xdr:colOff>
      <xdr:row>18</xdr:row>
      <xdr:rowOff>108360</xdr:rowOff>
    </xdr:to>
    <xdr:graphicFrame macro="">
      <xdr:nvGraphicFramePr>
        <xdr:cNvPr id="2" name="Chart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12</xdr:col>
      <xdr:colOff>507240</xdr:colOff>
      <xdr:row>33</xdr:row>
      <xdr:rowOff>108360</xdr:rowOff>
    </xdr:to>
    <xdr:graphicFrame macro="">
      <xdr:nvGraphicFramePr>
        <xdr:cNvPr id="3" name="Chart 2">
          <a:extLst>
            <a:ext uri="{FF2B5EF4-FFF2-40B4-BE49-F238E27FC236}">
              <a16:creationId xmlns:a16="http://schemas.microsoft.com/office/drawing/2014/main" id="{00000000-0008-0000-1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32</xdr:row>
      <xdr:rowOff>0</xdr:rowOff>
    </xdr:from>
    <xdr:to>
      <xdr:col>12</xdr:col>
      <xdr:colOff>507240</xdr:colOff>
      <xdr:row>48</xdr:row>
      <xdr:rowOff>108360</xdr:rowOff>
    </xdr:to>
    <xdr:graphicFrame macro="">
      <xdr:nvGraphicFramePr>
        <xdr:cNvPr id="4" name="Chart 3">
          <a:extLst>
            <a:ext uri="{FF2B5EF4-FFF2-40B4-BE49-F238E27FC236}">
              <a16:creationId xmlns:a16="http://schemas.microsoft.com/office/drawing/2014/main" id="{00000000-0008-0000-1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0</xdr:colOff>
      <xdr:row>2</xdr:row>
      <xdr:rowOff>0</xdr:rowOff>
    </xdr:from>
    <xdr:to>
      <xdr:col>12</xdr:col>
      <xdr:colOff>507240</xdr:colOff>
      <xdr:row>18</xdr:row>
      <xdr:rowOff>108360</xdr:rowOff>
    </xdr:to>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12</xdr:col>
      <xdr:colOff>507240</xdr:colOff>
      <xdr:row>33</xdr:row>
      <xdr:rowOff>108360</xdr:rowOff>
    </xdr:to>
    <xdr:graphicFrame macro="">
      <xdr:nvGraphicFramePr>
        <xdr:cNvPr id="3" name="Chart 2">
          <a:extLst>
            <a:ext uri="{FF2B5EF4-FFF2-40B4-BE49-F238E27FC236}">
              <a16:creationId xmlns:a16="http://schemas.microsoft.com/office/drawing/2014/main" id="{00000000-0008-0000-1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32</xdr:row>
      <xdr:rowOff>0</xdr:rowOff>
    </xdr:from>
    <xdr:to>
      <xdr:col>12</xdr:col>
      <xdr:colOff>507240</xdr:colOff>
      <xdr:row>48</xdr:row>
      <xdr:rowOff>108360</xdr:rowOff>
    </xdr:to>
    <xdr:graphicFrame macro="">
      <xdr:nvGraphicFramePr>
        <xdr:cNvPr id="4" name="Chart 3">
          <a:extLst>
            <a:ext uri="{FF2B5EF4-FFF2-40B4-BE49-F238E27FC236}">
              <a16:creationId xmlns:a16="http://schemas.microsoft.com/office/drawing/2014/main" id="{00000000-0008-0000-1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47</xdr:row>
      <xdr:rowOff>0</xdr:rowOff>
    </xdr:from>
    <xdr:to>
      <xdr:col>12</xdr:col>
      <xdr:colOff>507240</xdr:colOff>
      <xdr:row>63</xdr:row>
      <xdr:rowOff>108360</xdr:rowOff>
    </xdr:to>
    <xdr:graphicFrame macro="">
      <xdr:nvGraphicFramePr>
        <xdr:cNvPr id="5" name="Chart 4">
          <a:extLst>
            <a:ext uri="{FF2B5EF4-FFF2-40B4-BE49-F238E27FC236}">
              <a16:creationId xmlns:a16="http://schemas.microsoft.com/office/drawing/2014/main" id="{00000000-0008-0000-1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ostPositions" displayName="tblPostPositions" ref="A6:S21">
  <autoFilter ref="A6:S21" xr:uid="{00000000-0009-0000-0100-000001000000}"/>
  <tableColumns count="19">
    <tableColumn id="1" xr3:uid="{00000000-0010-0000-0000-000001000000}" name="Line Item"/>
    <tableColumn id="2" xr3:uid="{00000000-0010-0000-0000-000002000000}" name="Post"/>
    <tableColumn id="3" xr3:uid="{00000000-0010-0000-0000-000003000000}" name="Position"/>
    <tableColumn id="4" xr3:uid="{00000000-0010-0000-0000-000004000000}" name="Location"/>
    <tableColumn id="5" xr3:uid="{00000000-0010-0000-0000-000005000000}" name="Weekly Hours"/>
    <tableColumn id="6" xr3:uid="{00000000-0010-0000-0000-000006000000}" name="Pay Wage_x000a_($/hr)"/>
    <tableColumn id="7" xr3:uid="{00000000-0010-0000-0000-000007000000}" name="Rate Mode"/>
    <tableColumn id="8" xr3:uid="{00000000-0010-0000-0000-000008000000}" name="Manual Bill_x000a_Rate ($/hr)"/>
    <tableColumn id="9" xr3:uid="{00000000-0010-0000-0000-000009000000}" name="Auto Bill_x000a_Rate ($/hr)"/>
    <tableColumn id="10" xr3:uid="{00000000-0010-0000-0000-00000A000000}" name="Final Bill_x000a_Rate ($/hr)"/>
    <tableColumn id="11" xr3:uid="{00000000-0010-0000-0000-00000B000000}" name="Unbilled OT_x000a_(% Hrs)"/>
    <tableColumn id="12" xr3:uid="{00000000-0010-0000-0000-00000C000000}" name="Billed OT_x000a_(% Hrs)"/>
    <tableColumn id="13" xr3:uid="{00000000-0010-0000-0000-00000D000000}" name="Training_x000a_Hrs"/>
    <tableColumn id="14" xr3:uid="{00000000-0010-0000-0000-00000E000000}" name="Training Wage_x000a_($/hr)"/>
    <tableColumn id="15" xr3:uid="{00000000-0010-0000-0000-00000F000000}" name="Weekly Pay Cost"/>
    <tableColumn id="16" xr3:uid="{00000000-0010-0000-0000-000010000000}" name="Weekly Billing"/>
    <tableColumn id="17" xr3:uid="{00000000-0010-0000-0000-000011000000}" name="Training Cost"/>
    <tableColumn id="18" xr3:uid="{00000000-0010-0000-0000-000012000000}" name="Weekly Margin"/>
    <tableColumn id="19" xr3:uid="{00000000-0010-0000-0000-000013000000}" name="Headcou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iningTable" displayName="TrainingTable" ref="A1:J8">
  <autoFilter ref="A1:J8" xr:uid="{00000000-0009-0000-0100-000002000000}"/>
  <tableColumns count="10">
    <tableColumn id="1" xr3:uid="{00000000-0010-0000-0100-000001000000}" name="Training Description"/>
    <tableColumn id="2" xr3:uid="{00000000-0010-0000-0100-000002000000}" name="Hours"/>
    <tableColumn id="3" xr3:uid="{00000000-0010-0000-0100-000003000000}" name="Training Wage"/>
    <tableColumn id="4" xr3:uid="{00000000-0010-0000-0100-000004000000}" name="Training Cost Per Hour"/>
    <tableColumn id="5" xr3:uid="{00000000-0010-0000-0100-000005000000}" name="Employees Trained"/>
    <tableColumn id="6" xr3:uid="{00000000-0010-0000-0100-000006000000}" name="Instructor Cost"/>
    <tableColumn id="7" xr3:uid="{00000000-0010-0000-0100-000007000000}" name="Equipment Cost"/>
    <tableColumn id="8" xr3:uid="{00000000-0010-0000-0100-000008000000}" name="Certification Fee"/>
    <tableColumn id="9" xr3:uid="{00000000-0010-0000-0100-000009000000}" name="Travel Cost"/>
    <tableColumn id="10" xr3:uid="{00000000-0010-0000-0100-00000A000000}" name="Total Training Cos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quipmentTable" displayName="EquipmentTable" ref="A1:E6">
  <autoFilter ref="A1:E6" xr:uid="{00000000-0009-0000-0100-000003000000}"/>
  <tableColumns count="5">
    <tableColumn id="1" xr3:uid="{00000000-0010-0000-0200-000001000000}" name="Item"/>
    <tableColumn id="2" xr3:uid="{00000000-0010-0000-0200-000002000000}" name="Cost Per Unit"/>
    <tableColumn id="3" xr3:uid="{00000000-0010-0000-0200-000003000000}" name="Quantity"/>
    <tableColumn id="4" xr3:uid="{00000000-0010-0000-0200-000004000000}" name="Replacement Cycle (Years)"/>
    <tableColumn id="5" xr3:uid="{00000000-0010-0000-0200-000005000000}" name="Annualized Cos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orkforceTable" displayName="WorkforceTable" ref="A1:E6">
  <autoFilter ref="A1:E6" xr:uid="{00000000-0009-0000-0100-000004000000}"/>
  <tableColumns count="5">
    <tableColumn id="1" xr3:uid="{00000000-0010-0000-0300-000001000000}" name="Category"/>
    <tableColumn id="2" xr3:uid="{00000000-0010-0000-0300-000002000000}" name="Days/Hours"/>
    <tableColumn id="3" xr3:uid="{00000000-0010-0000-0300-000003000000}" name="Employees"/>
    <tableColumn id="4" xr3:uid="{00000000-0010-0000-0300-000004000000}" name="Cost Per Hour"/>
    <tableColumn id="5" xr3:uid="{00000000-0010-0000-0300-000005000000}" name="Total Cost"/>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VendorEvalTable" displayName="VendorEvalTable" ref="A4:G8">
  <autoFilter ref="A4:G8" xr:uid="{00000000-0009-0000-0100-000005000000}"/>
  <tableColumns count="7">
    <tableColumn id="1" xr3:uid="{00000000-0010-0000-0400-000001000000}" name="Vendor / Scenario"/>
    <tableColumn id="2" xr3:uid="{00000000-0010-0000-0400-000002000000}" name="Bid Rate"/>
    <tableColumn id="3" xr3:uid="{00000000-0010-0000-0400-000003000000}" name="Delta vs Gov TCO"/>
    <tableColumn id="4" xr3:uid="{00000000-0010-0000-0400-000004000000}" name="Delta %"/>
    <tableColumn id="5" xr3:uid="{00000000-0010-0000-0400-000005000000}" name="Band"/>
    <tableColumn id="6" xr3:uid="{00000000-0010-0000-0400-000006000000}" name="Recommendation"/>
    <tableColumn id="7" xr3:uid="{00000000-0010-0000-0400-000007000000}" name="Annual Cost"/>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6C28A"/>
  </sheetPr>
  <dimension ref="A1:J53"/>
  <sheetViews>
    <sheetView workbookViewId="0">
      <selection activeCell="H12" sqref="H12"/>
    </sheetView>
  </sheetViews>
  <sheetFormatPr defaultColWidth="8.6640625" defaultRowHeight="14.4" x14ac:dyDescent="0.3"/>
  <cols>
    <col min="1" max="1" width="50.6640625" style="1" customWidth="1"/>
    <col min="2" max="2" width="18" style="1" customWidth="1"/>
    <col min="3" max="3" width="14" style="1" customWidth="1"/>
    <col min="4" max="4" width="16" style="1" customWidth="1"/>
    <col min="5" max="5" width="24" style="1" customWidth="1"/>
    <col min="6" max="6" width="14" style="1" customWidth="1"/>
    <col min="7" max="9" width="18" style="1" customWidth="1"/>
    <col min="10" max="10" width="13" style="1" customWidth="1"/>
  </cols>
  <sheetData>
    <row r="1" spans="1:5" ht="27.75" customHeight="1" x14ac:dyDescent="0.3">
      <c r="A1" s="173" t="s">
        <v>0</v>
      </c>
      <c r="B1" s="172"/>
      <c r="C1" s="172"/>
      <c r="D1" s="172"/>
      <c r="E1" s="172"/>
    </row>
    <row r="2" spans="1:5" ht="21.75" customHeight="1" x14ac:dyDescent="0.3">
      <c r="A2" s="171" t="s">
        <v>1</v>
      </c>
      <c r="B2" s="172"/>
      <c r="C2" s="172"/>
      <c r="D2" s="172"/>
      <c r="E2" s="172"/>
    </row>
    <row r="3" spans="1:5" ht="19.5" customHeight="1" x14ac:dyDescent="0.3">
      <c r="A3" s="175" t="s">
        <v>2</v>
      </c>
      <c r="B3" s="172"/>
      <c r="C3" s="172"/>
      <c r="D3" s="3"/>
      <c r="E3" s="3"/>
    </row>
    <row r="4" spans="1:5" ht="19.5" customHeight="1" x14ac:dyDescent="0.3">
      <c r="A4" s="4" t="s">
        <v>3</v>
      </c>
      <c r="B4" s="5">
        <v>20</v>
      </c>
    </row>
    <row r="5" spans="1:5" ht="19.5" customHeight="1" x14ac:dyDescent="0.3">
      <c r="A5" s="6" t="s">
        <v>4</v>
      </c>
      <c r="B5" s="7">
        <v>1456</v>
      </c>
    </row>
    <row r="6" spans="1:5" ht="19.5" customHeight="1" x14ac:dyDescent="0.3">
      <c r="A6" s="6" t="s">
        <v>5</v>
      </c>
      <c r="B6" s="7">
        <v>1456</v>
      </c>
    </row>
    <row r="7" spans="1:5" ht="19.5" customHeight="1" x14ac:dyDescent="0.3">
      <c r="A7" s="6" t="s">
        <v>6</v>
      </c>
      <c r="B7" s="8">
        <v>0.17399999999999999</v>
      </c>
    </row>
    <row r="8" spans="1:5" ht="19.5" customHeight="1" x14ac:dyDescent="0.3">
      <c r="A8" s="6" t="s">
        <v>7</v>
      </c>
      <c r="B8" s="8">
        <v>7.6E-3</v>
      </c>
    </row>
    <row r="9" spans="1:5" ht="19.5" customHeight="1" x14ac:dyDescent="0.3">
      <c r="A9" s="6" t="s">
        <v>690</v>
      </c>
      <c r="B9" s="8">
        <v>4.2299999999999997E-2</v>
      </c>
    </row>
    <row r="10" spans="1:5" ht="19.5" customHeight="1" x14ac:dyDescent="0.3">
      <c r="A10" s="9"/>
    </row>
    <row r="11" spans="1:5" ht="19.5" customHeight="1" x14ac:dyDescent="0.3">
      <c r="A11" s="175" t="s">
        <v>8</v>
      </c>
      <c r="B11" s="172"/>
      <c r="C11" s="172"/>
      <c r="D11" s="3"/>
      <c r="E11" s="3"/>
    </row>
    <row r="12" spans="1:5" ht="19.5" customHeight="1" x14ac:dyDescent="0.3">
      <c r="A12" s="4" t="s">
        <v>9</v>
      </c>
      <c r="B12" s="8">
        <v>7.6499999999999999E-2</v>
      </c>
    </row>
    <row r="13" spans="1:5" ht="19.5" customHeight="1" x14ac:dyDescent="0.3">
      <c r="A13" s="4" t="s">
        <v>10</v>
      </c>
      <c r="B13" s="8">
        <v>6.0000000000000001E-3</v>
      </c>
    </row>
    <row r="14" spans="1:5" ht="19.5" customHeight="1" x14ac:dyDescent="0.3">
      <c r="A14" s="4" t="s">
        <v>11</v>
      </c>
      <c r="B14" s="8">
        <v>1.4999999999999999E-2</v>
      </c>
    </row>
    <row r="15" spans="1:5" ht="19.5" customHeight="1" x14ac:dyDescent="0.3">
      <c r="A15" s="4" t="s">
        <v>12</v>
      </c>
      <c r="B15" s="8">
        <v>0.05</v>
      </c>
    </row>
    <row r="16" spans="1:5" ht="19.5" customHeight="1" x14ac:dyDescent="0.3">
      <c r="A16" s="4" t="s">
        <v>13</v>
      </c>
      <c r="B16" s="5">
        <v>5.55</v>
      </c>
    </row>
    <row r="17" spans="1:5" ht="19.5" customHeight="1" x14ac:dyDescent="0.3">
      <c r="A17" s="4" t="s">
        <v>14</v>
      </c>
      <c r="B17" s="8">
        <v>2.5000000000000001E-2</v>
      </c>
    </row>
    <row r="18" spans="1:5" ht="19.5" customHeight="1" x14ac:dyDescent="0.3">
      <c r="A18" s="4" t="s">
        <v>15</v>
      </c>
      <c r="B18" s="8">
        <v>7.4999999999999997E-2</v>
      </c>
    </row>
    <row r="19" spans="1:5" ht="19.5" customHeight="1" x14ac:dyDescent="0.3">
      <c r="A19" s="4" t="s">
        <v>16</v>
      </c>
      <c r="B19" s="8">
        <v>1.2500000000000001E-2</v>
      </c>
    </row>
    <row r="20" spans="1:5" ht="19.5" customHeight="1" x14ac:dyDescent="0.3">
      <c r="A20" s="9"/>
    </row>
    <row r="21" spans="1:5" ht="19.5" customHeight="1" x14ac:dyDescent="0.3">
      <c r="A21" s="175" t="s">
        <v>17</v>
      </c>
      <c r="B21" s="172"/>
      <c r="C21" s="172"/>
      <c r="D21" s="3"/>
      <c r="E21" s="3"/>
    </row>
    <row r="22" spans="1:5" ht="19.5" customHeight="1" x14ac:dyDescent="0.3">
      <c r="A22" s="4" t="s">
        <v>18</v>
      </c>
      <c r="B22" s="8">
        <v>1.4999999999999999E-2</v>
      </c>
    </row>
    <row r="23" spans="1:5" ht="19.5" customHeight="1" x14ac:dyDescent="0.3">
      <c r="A23" s="4" t="s">
        <v>19</v>
      </c>
      <c r="B23" s="8">
        <v>1.4999999999999999E-2</v>
      </c>
    </row>
    <row r="24" spans="1:5" ht="19.5" customHeight="1" x14ac:dyDescent="0.3">
      <c r="A24" s="4" t="s">
        <v>20</v>
      </c>
      <c r="B24" s="8">
        <v>0.01</v>
      </c>
    </row>
    <row r="25" spans="1:5" ht="19.5" customHeight="1" x14ac:dyDescent="0.3">
      <c r="A25" s="6" t="s">
        <v>21</v>
      </c>
      <c r="B25" s="8">
        <v>0.06</v>
      </c>
    </row>
    <row r="26" spans="1:5" ht="19.5" customHeight="1" x14ac:dyDescent="0.3">
      <c r="A26" s="6" t="s">
        <v>22</v>
      </c>
      <c r="B26" s="8">
        <v>0.03</v>
      </c>
    </row>
    <row r="27" spans="1:5" ht="19.5" customHeight="1" x14ac:dyDescent="0.3">
      <c r="A27" s="6" t="s">
        <v>23</v>
      </c>
      <c r="B27" s="8">
        <v>1.4999999999999999E-2</v>
      </c>
    </row>
    <row r="28" spans="1:5" ht="19.5" customHeight="1" x14ac:dyDescent="0.3">
      <c r="A28" s="6" t="s">
        <v>24</v>
      </c>
      <c r="B28" s="8">
        <v>0.02</v>
      </c>
    </row>
    <row r="29" spans="1:5" ht="19.5" customHeight="1" x14ac:dyDescent="0.3">
      <c r="A29" s="6" t="s">
        <v>25</v>
      </c>
      <c r="B29" s="8">
        <v>0.01</v>
      </c>
    </row>
    <row r="30" spans="1:5" ht="19.5" customHeight="1" x14ac:dyDescent="0.3">
      <c r="A30" s="6" t="s">
        <v>26</v>
      </c>
      <c r="B30" s="8">
        <v>1.4999999999999999E-2</v>
      </c>
    </row>
    <row r="31" spans="1:5" ht="19.5" customHeight="1" x14ac:dyDescent="0.3">
      <c r="A31" s="6" t="s">
        <v>27</v>
      </c>
      <c r="B31" s="8">
        <v>7.4999999999999997E-3</v>
      </c>
    </row>
    <row r="32" spans="1:5" ht="19.5" customHeight="1" x14ac:dyDescent="0.3">
      <c r="A32" s="9"/>
    </row>
    <row r="33" spans="1:5" ht="19.5" customHeight="1" x14ac:dyDescent="0.3">
      <c r="A33" s="175" t="s">
        <v>28</v>
      </c>
      <c r="B33" s="172"/>
      <c r="C33" s="172"/>
      <c r="D33" s="3"/>
      <c r="E33" s="3"/>
    </row>
    <row r="34" spans="1:5" ht="19.5" customHeight="1" x14ac:dyDescent="0.3">
      <c r="A34" s="6" t="s">
        <v>29</v>
      </c>
      <c r="B34" s="8">
        <v>0.03</v>
      </c>
    </row>
    <row r="35" spans="1:5" ht="19.5" customHeight="1" x14ac:dyDescent="0.3">
      <c r="A35" s="6" t="s">
        <v>30</v>
      </c>
      <c r="B35" s="8">
        <v>0.02</v>
      </c>
    </row>
    <row r="36" spans="1:5" ht="19.5" customHeight="1" x14ac:dyDescent="0.3">
      <c r="A36" s="4" t="s">
        <v>31</v>
      </c>
      <c r="B36" s="8">
        <v>0.12</v>
      </c>
    </row>
    <row r="37" spans="1:5" ht="19.5" customHeight="1" x14ac:dyDescent="0.3">
      <c r="A37" s="4" t="s">
        <v>32</v>
      </c>
      <c r="B37" s="8">
        <v>0.06</v>
      </c>
    </row>
    <row r="38" spans="1:5" ht="19.5" customHeight="1" x14ac:dyDescent="0.3">
      <c r="A38" s="4" t="s">
        <v>33</v>
      </c>
      <c r="B38" s="8">
        <v>0.08</v>
      </c>
    </row>
    <row r="39" spans="1:5" ht="19.5" hidden="1" customHeight="1" x14ac:dyDescent="0.3">
      <c r="A39" s="6" t="s">
        <v>34</v>
      </c>
      <c r="B39" s="8">
        <v>0.7</v>
      </c>
    </row>
    <row r="40" spans="1:5" ht="19.5" hidden="1" customHeight="1" x14ac:dyDescent="0.3">
      <c r="A40" s="6" t="s">
        <v>35</v>
      </c>
      <c r="B40" s="8">
        <v>0.7</v>
      </c>
    </row>
    <row r="41" spans="1:5" ht="19.5" hidden="1" customHeight="1" x14ac:dyDescent="0.3">
      <c r="A41" s="6" t="s">
        <v>36</v>
      </c>
      <c r="B41" s="7">
        <v>1500</v>
      </c>
    </row>
    <row r="42" spans="1:5" ht="19.5" hidden="1" customHeight="1" x14ac:dyDescent="0.3">
      <c r="A42" s="6" t="s">
        <v>37</v>
      </c>
      <c r="B42" s="8">
        <v>0.7</v>
      </c>
    </row>
    <row r="43" spans="1:5" ht="19.5" hidden="1" customHeight="1" x14ac:dyDescent="0.3">
      <c r="A43" s="6" t="s">
        <v>38</v>
      </c>
      <c r="B43" s="7">
        <v>3744</v>
      </c>
    </row>
    <row r="44" spans="1:5" ht="19.5" hidden="1" customHeight="1" x14ac:dyDescent="0.3">
      <c r="A44" s="6" t="s">
        <v>6</v>
      </c>
      <c r="B44" s="8">
        <v>0</v>
      </c>
    </row>
    <row r="45" spans="1:5" ht="15" hidden="1" customHeight="1" x14ac:dyDescent="0.3">
      <c r="A45" s="6" t="s">
        <v>39</v>
      </c>
      <c r="B45" s="10">
        <f>IFERROR((1/B42)*(B43/B6),0)</f>
        <v>3.6734693877551026</v>
      </c>
    </row>
    <row r="46" spans="1:5" ht="19.5" customHeight="1" x14ac:dyDescent="0.3">
      <c r="A46" s="174" t="s">
        <v>40</v>
      </c>
      <c r="B46" s="172"/>
      <c r="C46" s="172"/>
      <c r="D46" s="172"/>
    </row>
    <row r="47" spans="1:5" ht="19.5" customHeight="1" x14ac:dyDescent="0.3">
      <c r="A47" s="2" t="s">
        <v>41</v>
      </c>
      <c r="E47" s="3"/>
    </row>
    <row r="48" spans="1:5" ht="15" customHeight="1" x14ac:dyDescent="0.3">
      <c r="A48" s="12" t="s">
        <v>42</v>
      </c>
      <c r="B48" s="13"/>
      <c r="C48" s="3"/>
      <c r="D48" s="3"/>
      <c r="E48" s="3"/>
    </row>
    <row r="49" spans="1:2" ht="15" customHeight="1" x14ac:dyDescent="0.3">
      <c r="A49" s="6" t="s">
        <v>43</v>
      </c>
      <c r="B49" s="14">
        <f>Vehicle!B5</f>
        <v>2</v>
      </c>
    </row>
    <row r="50" spans="1:2" ht="15" customHeight="1" x14ac:dyDescent="0.3">
      <c r="A50" s="6" t="s">
        <v>44</v>
      </c>
      <c r="B50" s="14">
        <f>Vehicle!B6</f>
        <v>365</v>
      </c>
    </row>
    <row r="51" spans="1:2" ht="15" customHeight="1" x14ac:dyDescent="0.3">
      <c r="A51" s="6" t="s">
        <v>45</v>
      </c>
      <c r="B51" s="15">
        <f>Vehicle!B10</f>
        <v>4</v>
      </c>
    </row>
    <row r="52" spans="1:2" ht="15" customHeight="1" x14ac:dyDescent="0.3">
      <c r="A52" s="16" t="s">
        <v>46</v>
      </c>
      <c r="B52" s="17">
        <f>Vehicle!C29</f>
        <v>122466.32727272727</v>
      </c>
    </row>
    <row r="53" spans="1:2" ht="14.4" customHeight="1" x14ac:dyDescent="0.3">
      <c r="A53" s="6" t="s">
        <v>47</v>
      </c>
      <c r="B53" s="15">
        <f>Vehicle!C30</f>
        <v>2.4430722804166787</v>
      </c>
    </row>
  </sheetData>
  <mergeCells count="7">
    <mergeCell ref="A46:D46"/>
    <mergeCell ref="A33:C33"/>
    <mergeCell ref="A11:C11"/>
    <mergeCell ref="A2:E2"/>
    <mergeCell ref="A1:E1"/>
    <mergeCell ref="A3:C3"/>
    <mergeCell ref="A21:C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3F6D"/>
  </sheetPr>
  <dimension ref="A1:AA41"/>
  <sheetViews>
    <sheetView workbookViewId="0">
      <selection sqref="A1:S1"/>
    </sheetView>
  </sheetViews>
  <sheetFormatPr defaultColWidth="8.6640625" defaultRowHeight="14.4" x14ac:dyDescent="0.3"/>
  <cols>
    <col min="1" max="1" width="10" style="1" customWidth="1"/>
    <col min="2" max="2" width="14" style="1" customWidth="1"/>
    <col min="3" max="3" width="20" style="1" customWidth="1"/>
    <col min="4" max="4" width="18" style="1" customWidth="1"/>
    <col min="5" max="5" width="12" style="1" customWidth="1"/>
    <col min="6" max="7" width="13" customWidth="1"/>
    <col min="8" max="10" width="13" style="1" customWidth="1"/>
    <col min="11" max="13" width="11" style="1" customWidth="1"/>
    <col min="14" max="14" width="13" style="1" customWidth="1"/>
    <col min="15" max="18" width="14" style="1" customWidth="1"/>
    <col min="19" max="19" width="11" style="1" customWidth="1"/>
    <col min="20" max="20" width="18" style="1" customWidth="1"/>
    <col min="21" max="21" width="14" style="1" customWidth="1"/>
    <col min="22" max="22" width="14" customWidth="1"/>
    <col min="23" max="23" width="13" customWidth="1"/>
    <col min="24" max="24" width="18" customWidth="1"/>
    <col min="25" max="25" width="14" customWidth="1"/>
    <col min="26" max="26" width="16" customWidth="1"/>
    <col min="27" max="27" width="24" customWidth="1"/>
  </cols>
  <sheetData>
    <row r="1" spans="1:23" ht="24" customHeight="1" x14ac:dyDescent="0.3">
      <c r="A1" s="176" t="s">
        <v>48</v>
      </c>
      <c r="B1" s="177"/>
      <c r="C1" s="177"/>
      <c r="D1" s="177"/>
      <c r="E1" s="177"/>
      <c r="F1" s="177"/>
      <c r="G1" s="177"/>
      <c r="H1" s="177"/>
      <c r="I1" s="177"/>
      <c r="J1" s="177"/>
      <c r="K1" s="177"/>
      <c r="L1" s="177"/>
      <c r="M1" s="177"/>
      <c r="N1" s="177"/>
      <c r="O1" s="177"/>
      <c r="P1" s="177"/>
      <c r="Q1" s="177"/>
      <c r="R1" s="177"/>
      <c r="S1" s="177"/>
      <c r="T1" s="183" t="s">
        <v>49</v>
      </c>
      <c r="U1" s="172"/>
    </row>
    <row r="2" spans="1:23" ht="33.75" customHeight="1" x14ac:dyDescent="0.25">
      <c r="A2" s="179" t="s">
        <v>50</v>
      </c>
      <c r="B2" s="177"/>
      <c r="C2" s="177"/>
      <c r="D2" s="177"/>
      <c r="E2" s="177"/>
      <c r="F2" s="177"/>
      <c r="G2" s="177"/>
      <c r="H2" s="177"/>
      <c r="I2" s="177"/>
      <c r="J2" s="177"/>
      <c r="K2" s="177"/>
      <c r="L2" s="177"/>
      <c r="M2" s="177"/>
      <c r="N2" s="177"/>
      <c r="O2" s="177"/>
      <c r="P2" s="177"/>
      <c r="Q2" s="177"/>
      <c r="R2" s="177"/>
      <c r="S2" s="177"/>
      <c r="T2" s="18" t="s">
        <v>51</v>
      </c>
      <c r="U2" s="19">
        <v>40</v>
      </c>
    </row>
    <row r="3" spans="1:23" ht="15" customHeight="1" x14ac:dyDescent="0.3">
      <c r="T3" s="18" t="s">
        <v>52</v>
      </c>
      <c r="U3" s="19">
        <v>1.5</v>
      </c>
    </row>
    <row r="4" spans="1:23" ht="21.75" customHeight="1" x14ac:dyDescent="0.3">
      <c r="T4" s="181" t="s">
        <v>53</v>
      </c>
      <c r="U4" s="182"/>
      <c r="V4" t="s">
        <v>54</v>
      </c>
      <c r="W4" t="s">
        <v>55</v>
      </c>
    </row>
    <row r="5" spans="1:23" ht="15" customHeight="1" x14ac:dyDescent="0.3">
      <c r="T5" s="18" t="s">
        <v>56</v>
      </c>
      <c r="U5" s="20">
        <f>SUBTOTAL(109,Post_Positions!$E$7:$E$21)</f>
        <v>964</v>
      </c>
      <c r="V5" t="s">
        <v>57</v>
      </c>
      <c r="W5" t="s">
        <v>58</v>
      </c>
    </row>
    <row r="6" spans="1:23" ht="36" customHeight="1" x14ac:dyDescent="0.25">
      <c r="A6" s="21" t="s">
        <v>59</v>
      </c>
      <c r="B6" s="21" t="s">
        <v>60</v>
      </c>
      <c r="C6" s="21" t="s">
        <v>61</v>
      </c>
      <c r="D6" s="21" t="s">
        <v>62</v>
      </c>
      <c r="E6" s="21" t="s">
        <v>56</v>
      </c>
      <c r="F6" s="21" t="s">
        <v>63</v>
      </c>
      <c r="G6" s="21" t="s">
        <v>64</v>
      </c>
      <c r="H6" s="21" t="s">
        <v>65</v>
      </c>
      <c r="I6" s="21" t="s">
        <v>66</v>
      </c>
      <c r="J6" s="21" t="s">
        <v>67</v>
      </c>
      <c r="K6" s="21" t="s">
        <v>68</v>
      </c>
      <c r="L6" s="21" t="s">
        <v>69</v>
      </c>
      <c r="M6" s="21" t="s">
        <v>70</v>
      </c>
      <c r="N6" s="21" t="s">
        <v>71</v>
      </c>
      <c r="O6" s="21" t="s">
        <v>72</v>
      </c>
      <c r="P6" s="21" t="s">
        <v>73</v>
      </c>
      <c r="Q6" s="21" t="s">
        <v>74</v>
      </c>
      <c r="R6" s="21" t="s">
        <v>75</v>
      </c>
      <c r="S6" s="21" t="s">
        <v>76</v>
      </c>
      <c r="T6" s="18" t="s">
        <v>72</v>
      </c>
      <c r="U6" s="22">
        <f>SUBTOTAL(109,Post_Positions!$O$7:$O$21)</f>
        <v>19280</v>
      </c>
      <c r="V6" s="21" t="s">
        <v>77</v>
      </c>
      <c r="W6" s="21" t="s">
        <v>78</v>
      </c>
    </row>
    <row r="7" spans="1:23" ht="21.75" customHeight="1" x14ac:dyDescent="0.25">
      <c r="A7" s="23" t="s">
        <v>79</v>
      </c>
      <c r="B7" s="24" t="s">
        <v>80</v>
      </c>
      <c r="C7" s="24" t="s">
        <v>81</v>
      </c>
      <c r="D7" s="24"/>
      <c r="E7" s="19">
        <v>168</v>
      </c>
      <c r="F7" s="25">
        <f>IF($B7="","",IF($W7="MANUAL",$V7,Inputs!$B$4))</f>
        <v>20</v>
      </c>
      <c r="G7" s="23" t="s">
        <v>82</v>
      </c>
      <c r="H7" s="25">
        <v>45</v>
      </c>
      <c r="I7" s="26">
        <f>IF(OR(F7="",F7=0),"",((F7*(1+Inputs!$B$44))/Inputs!$B$42)*(Inputs!$B$43/Inputs!$B$6))</f>
        <v>73.469387755102048</v>
      </c>
      <c r="J7" s="26">
        <f>IF(E7="","",IF(G7="AUTO",I7*Inputs!$B$42,H7))</f>
        <v>51.428571428571431</v>
      </c>
      <c r="K7" s="19">
        <v>0</v>
      </c>
      <c r="L7" s="19">
        <v>0</v>
      </c>
      <c r="M7" s="19">
        <v>0</v>
      </c>
      <c r="N7" s="25">
        <v>30</v>
      </c>
      <c r="O7" s="26">
        <f t="shared" ref="O7:O21" si="0">IF(OR(E7="",F7=""),"",E7*F7*(1+$U$3*(IF(K7="",0,K7)+IF(L7="",0,L7))))</f>
        <v>3360</v>
      </c>
      <c r="P7" s="26">
        <f t="shared" ref="P7:P21" si="1">IF(OR(E7="",J7=""),"",E7*J7*(1+IF(L7="",0,L7)))</f>
        <v>8640</v>
      </c>
      <c r="Q7" s="26">
        <f t="shared" ref="Q7:Q21" si="2">IF(OR(M7="",N7=""),"",M7*N7)</f>
        <v>0</v>
      </c>
      <c r="R7" s="26">
        <f t="shared" ref="R7:R21" si="3">IF(OR(O7="",P7=""),"",P7-O7-IF(Q7="",0,Q7))</f>
        <v>5280</v>
      </c>
      <c r="S7" s="27">
        <f t="shared" ref="S7:S21" si="4">IF(E7="","",ROUNDUP(E7/28,0))</f>
        <v>6</v>
      </c>
      <c r="T7" s="18" t="s">
        <v>73</v>
      </c>
      <c r="U7" s="22">
        <f>SUBTOTAL(109,Post_Positions!$P$7:$P$21)</f>
        <v>49577.142857142855</v>
      </c>
      <c r="V7" s="25">
        <v>67</v>
      </c>
      <c r="W7" s="23" t="s">
        <v>82</v>
      </c>
    </row>
    <row r="8" spans="1:23" ht="21.75" customHeight="1" x14ac:dyDescent="0.25">
      <c r="A8" s="23" t="s">
        <v>83</v>
      </c>
      <c r="B8" s="24" t="s">
        <v>84</v>
      </c>
      <c r="C8" s="24" t="s">
        <v>85</v>
      </c>
      <c r="D8" s="24"/>
      <c r="E8" s="19">
        <v>168</v>
      </c>
      <c r="F8" s="25">
        <f>IF($B8="","",IF($W8="MANUAL",$V8,Inputs!$B$4))</f>
        <v>20</v>
      </c>
      <c r="G8" s="23" t="s">
        <v>82</v>
      </c>
      <c r="H8" s="25">
        <v>45</v>
      </c>
      <c r="I8" s="26">
        <f>IF(OR(F8="",F8=0),"",((F8*(1+Inputs!$B$44))/Inputs!$B$42)*(Inputs!$B$43/Inputs!$B$6))</f>
        <v>73.469387755102048</v>
      </c>
      <c r="J8" s="26">
        <f>IF(E8="","",IF(G8="AUTO",I8*Inputs!$B$42,H8))</f>
        <v>51.428571428571431</v>
      </c>
      <c r="K8" s="19">
        <v>0</v>
      </c>
      <c r="L8" s="19">
        <v>0</v>
      </c>
      <c r="M8" s="19">
        <v>0</v>
      </c>
      <c r="N8" s="25">
        <v>30</v>
      </c>
      <c r="O8" s="26">
        <f t="shared" si="0"/>
        <v>3360</v>
      </c>
      <c r="P8" s="26">
        <f t="shared" si="1"/>
        <v>8640</v>
      </c>
      <c r="Q8" s="26">
        <f t="shared" si="2"/>
        <v>0</v>
      </c>
      <c r="R8" s="26">
        <f t="shared" si="3"/>
        <v>5280</v>
      </c>
      <c r="S8" s="27">
        <f t="shared" si="4"/>
        <v>6</v>
      </c>
      <c r="T8" s="18" t="s">
        <v>74</v>
      </c>
      <c r="U8" s="22">
        <f>SUBTOTAL(109,Post_Positions!$Q$7:$Q$21)</f>
        <v>0</v>
      </c>
      <c r="V8" s="25"/>
      <c r="W8" s="23" t="s">
        <v>82</v>
      </c>
    </row>
    <row r="9" spans="1:23" ht="21.75" customHeight="1" x14ac:dyDescent="0.25">
      <c r="A9" s="23" t="s">
        <v>86</v>
      </c>
      <c r="B9" s="24" t="s">
        <v>87</v>
      </c>
      <c r="C9" s="24" t="s">
        <v>88</v>
      </c>
      <c r="D9" s="24"/>
      <c r="E9" s="19">
        <v>168</v>
      </c>
      <c r="F9" s="25">
        <f>IF($B9="","",IF($W9="MANUAL",$V9,Inputs!$B$4))</f>
        <v>20</v>
      </c>
      <c r="G9" s="23" t="s">
        <v>82</v>
      </c>
      <c r="H9" s="25">
        <v>45</v>
      </c>
      <c r="I9" s="26">
        <f>IF(OR(F9="",F9=0),"",((F9*(1+Inputs!$B$44))/Inputs!$B$42)*(Inputs!$B$43/Inputs!$B$6))</f>
        <v>73.469387755102048</v>
      </c>
      <c r="J9" s="26">
        <f>IF(E9="","",IF(G9="AUTO",I9*Inputs!$B$42,H9))</f>
        <v>51.428571428571431</v>
      </c>
      <c r="K9" s="19">
        <v>0</v>
      </c>
      <c r="L9" s="19">
        <v>0</v>
      </c>
      <c r="M9" s="19">
        <v>0</v>
      </c>
      <c r="N9" s="25">
        <v>30</v>
      </c>
      <c r="O9" s="26">
        <f t="shared" si="0"/>
        <v>3360</v>
      </c>
      <c r="P9" s="26">
        <f t="shared" si="1"/>
        <v>8640</v>
      </c>
      <c r="Q9" s="26">
        <f t="shared" si="2"/>
        <v>0</v>
      </c>
      <c r="R9" s="26">
        <f t="shared" si="3"/>
        <v>5280</v>
      </c>
      <c r="S9" s="27">
        <f t="shared" si="4"/>
        <v>6</v>
      </c>
      <c r="T9" s="18" t="s">
        <v>75</v>
      </c>
      <c r="U9" s="22">
        <f>SUBTOTAL(109,Post_Positions!$R$7:$R$21)</f>
        <v>30297.142857142859</v>
      </c>
      <c r="V9" s="25"/>
      <c r="W9" s="23" t="s">
        <v>82</v>
      </c>
    </row>
    <row r="10" spans="1:23" ht="21.75" customHeight="1" x14ac:dyDescent="0.25">
      <c r="A10" s="23" t="s">
        <v>89</v>
      </c>
      <c r="B10" s="24" t="s">
        <v>90</v>
      </c>
      <c r="C10" s="24"/>
      <c r="D10" s="24"/>
      <c r="E10" s="19">
        <v>168</v>
      </c>
      <c r="F10" s="25">
        <f>IF($B10="","",IF($W10="MANUAL",$V10,Inputs!$B$4))</f>
        <v>20</v>
      </c>
      <c r="G10" s="23" t="s">
        <v>82</v>
      </c>
      <c r="H10" s="25">
        <v>45</v>
      </c>
      <c r="I10" s="26">
        <f>IF(OR(F10="",F10=0),"",((F10*(1+Inputs!$B$44))/Inputs!$B$42)*(Inputs!$B$43/Inputs!$B$6))</f>
        <v>73.469387755102048</v>
      </c>
      <c r="J10" s="26">
        <f>IF(E10="","",IF(G10="AUTO",I10*Inputs!$B$42,H10))</f>
        <v>51.428571428571431</v>
      </c>
      <c r="K10" s="19"/>
      <c r="L10" s="19"/>
      <c r="M10" s="19"/>
      <c r="N10" s="25"/>
      <c r="O10" s="26">
        <f t="shared" si="0"/>
        <v>3360</v>
      </c>
      <c r="P10" s="26">
        <f t="shared" si="1"/>
        <v>8640</v>
      </c>
      <c r="Q10" s="26" t="str">
        <f t="shared" si="2"/>
        <v/>
      </c>
      <c r="R10" s="26">
        <f t="shared" si="3"/>
        <v>5280</v>
      </c>
      <c r="S10" s="27">
        <f t="shared" si="4"/>
        <v>6</v>
      </c>
      <c r="T10" s="18" t="s">
        <v>76</v>
      </c>
      <c r="U10" s="20">
        <f>SUBTOTAL(109,Post_Positions!$S$7:$S$21)</f>
        <v>35</v>
      </c>
      <c r="V10" s="25"/>
      <c r="W10" s="23" t="s">
        <v>82</v>
      </c>
    </row>
    <row r="11" spans="1:23" ht="19.2" customHeight="1" x14ac:dyDescent="0.25">
      <c r="A11" s="23" t="s">
        <v>91</v>
      </c>
      <c r="B11" s="24" t="s">
        <v>92</v>
      </c>
      <c r="C11" s="24"/>
      <c r="D11" s="24"/>
      <c r="E11" s="19">
        <v>112</v>
      </c>
      <c r="F11" s="25">
        <f>IF($B11="","",IF($W11="MANUAL",$V11,Inputs!$B$4))</f>
        <v>20</v>
      </c>
      <c r="G11" s="23" t="s">
        <v>82</v>
      </c>
      <c r="H11" s="25">
        <v>45</v>
      </c>
      <c r="I11" s="26">
        <f>IF(OR(F11="",F11=0),"",((F11*(1+Inputs!$B$44))/Inputs!$B$42)*(Inputs!$B$43/Inputs!$B$6))</f>
        <v>73.469387755102048</v>
      </c>
      <c r="J11" s="26">
        <f>IF(E11="","",IF(G11="AUTO",I11*Inputs!$B$42,H11))</f>
        <v>51.428571428571431</v>
      </c>
      <c r="K11" s="19"/>
      <c r="L11" s="19"/>
      <c r="M11" s="19"/>
      <c r="N11" s="25"/>
      <c r="O11" s="26">
        <f t="shared" si="0"/>
        <v>2240</v>
      </c>
      <c r="P11" s="26">
        <f t="shared" si="1"/>
        <v>5760</v>
      </c>
      <c r="Q11" s="26" t="str">
        <f t="shared" si="2"/>
        <v/>
      </c>
      <c r="R11" s="26">
        <f t="shared" si="3"/>
        <v>3520</v>
      </c>
      <c r="S11" s="27">
        <f t="shared" si="4"/>
        <v>4</v>
      </c>
      <c r="T11" s="180" t="s">
        <v>93</v>
      </c>
      <c r="U11" s="172"/>
      <c r="V11" s="25"/>
      <c r="W11" s="23" t="s">
        <v>82</v>
      </c>
    </row>
    <row r="12" spans="1:23" ht="21.75" customHeight="1" x14ac:dyDescent="0.25">
      <c r="A12" s="23" t="s">
        <v>94</v>
      </c>
      <c r="B12" s="24" t="s">
        <v>95</v>
      </c>
      <c r="C12" s="24"/>
      <c r="D12" s="24"/>
      <c r="E12" s="19">
        <v>40</v>
      </c>
      <c r="F12" s="25">
        <f>IF($B12="","",IF($W12="MANUAL",$V12,Inputs!$B$4))</f>
        <v>20</v>
      </c>
      <c r="G12" s="23" t="s">
        <v>82</v>
      </c>
      <c r="H12" s="25">
        <v>45</v>
      </c>
      <c r="I12" s="26">
        <f>IF(OR(F12="",F12=0),"",((F12*(1+Inputs!$B$44))/Inputs!$B$42)*(Inputs!$B$43/Inputs!$B$6))</f>
        <v>73.469387755102048</v>
      </c>
      <c r="J12" s="26">
        <f>IF(E12="","",IF(G12="AUTO",I12*Inputs!$B$42,H12))</f>
        <v>51.428571428571431</v>
      </c>
      <c r="K12" s="19"/>
      <c r="L12" s="19"/>
      <c r="M12" s="19"/>
      <c r="N12" s="25"/>
      <c r="O12" s="26">
        <f t="shared" si="0"/>
        <v>800</v>
      </c>
      <c r="P12" s="26">
        <f t="shared" si="1"/>
        <v>2057.1428571428573</v>
      </c>
      <c r="Q12" s="26" t="str">
        <f t="shared" si="2"/>
        <v/>
      </c>
      <c r="R12" s="26">
        <f t="shared" si="3"/>
        <v>1257.1428571428573</v>
      </c>
      <c r="S12" s="27">
        <f t="shared" si="4"/>
        <v>2</v>
      </c>
      <c r="T12" s="172"/>
      <c r="U12" s="172"/>
      <c r="V12" s="25"/>
      <c r="W12" s="23" t="s">
        <v>82</v>
      </c>
    </row>
    <row r="13" spans="1:23" ht="21.75" customHeight="1" x14ac:dyDescent="0.25">
      <c r="A13" s="23" t="s">
        <v>96</v>
      </c>
      <c r="B13" s="24" t="s">
        <v>97</v>
      </c>
      <c r="C13" s="24"/>
      <c r="D13" s="24"/>
      <c r="E13" s="19">
        <v>56</v>
      </c>
      <c r="F13" s="25">
        <f>IF($B13="","",IF($W13="MANUAL",$V13,Inputs!$B$4))</f>
        <v>20</v>
      </c>
      <c r="G13" s="23" t="s">
        <v>82</v>
      </c>
      <c r="H13" s="25">
        <v>45</v>
      </c>
      <c r="I13" s="26">
        <f>IF(OR(F13="",F13=0),"",((F13*(1+Inputs!$B$44))/Inputs!$B$42)*(Inputs!$B$43/Inputs!$B$6))</f>
        <v>73.469387755102048</v>
      </c>
      <c r="J13" s="26">
        <f>IF(E13="","",IF(G13="AUTO",I13*Inputs!$B$42,H13))</f>
        <v>51.428571428571431</v>
      </c>
      <c r="K13" s="19"/>
      <c r="L13" s="19"/>
      <c r="M13" s="19"/>
      <c r="N13" s="25"/>
      <c r="O13" s="26">
        <f t="shared" si="0"/>
        <v>1120</v>
      </c>
      <c r="P13" s="26">
        <f t="shared" si="1"/>
        <v>2880</v>
      </c>
      <c r="Q13" s="26" t="str">
        <f t="shared" si="2"/>
        <v/>
      </c>
      <c r="R13" s="26">
        <f t="shared" si="3"/>
        <v>1760</v>
      </c>
      <c r="S13" s="27">
        <f t="shared" si="4"/>
        <v>2</v>
      </c>
      <c r="T13" s="18" t="s">
        <v>98</v>
      </c>
      <c r="U13" s="28">
        <f>IF(U5="","",U5*52)</f>
        <v>50128</v>
      </c>
      <c r="V13" s="25"/>
      <c r="W13" s="23" t="s">
        <v>82</v>
      </c>
    </row>
    <row r="14" spans="1:23" ht="21.75" customHeight="1" x14ac:dyDescent="0.25">
      <c r="A14" s="23" t="s">
        <v>99</v>
      </c>
      <c r="B14" s="24" t="s">
        <v>100</v>
      </c>
      <c r="C14" s="24"/>
      <c r="D14" s="24"/>
      <c r="E14" s="19">
        <v>84</v>
      </c>
      <c r="F14" s="25">
        <f>IF($B14="","",IF($W14="MANUAL",$V14,Inputs!$B$4))</f>
        <v>20</v>
      </c>
      <c r="G14" s="23" t="s">
        <v>82</v>
      </c>
      <c r="H14" s="25">
        <v>45</v>
      </c>
      <c r="I14" s="26">
        <f>IF(OR(F14="",F14=0),"",((F14*(1+Inputs!$B$44))/Inputs!$B$42)*(Inputs!$B$43/Inputs!$B$6))</f>
        <v>73.469387755102048</v>
      </c>
      <c r="J14" s="26">
        <f>IF(E14="","",IF(G14="AUTO",I14*Inputs!$B$42,H14))</f>
        <v>51.428571428571431</v>
      </c>
      <c r="K14" s="19"/>
      <c r="L14" s="19"/>
      <c r="M14" s="19"/>
      <c r="N14" s="25"/>
      <c r="O14" s="26">
        <f t="shared" si="0"/>
        <v>1680</v>
      </c>
      <c r="P14" s="26">
        <f t="shared" si="1"/>
        <v>4320</v>
      </c>
      <c r="Q14" s="26" t="str">
        <f t="shared" si="2"/>
        <v/>
      </c>
      <c r="R14" s="26">
        <f t="shared" si="3"/>
        <v>2640</v>
      </c>
      <c r="S14" s="27">
        <f t="shared" si="4"/>
        <v>3</v>
      </c>
      <c r="T14" s="18" t="s">
        <v>101</v>
      </c>
      <c r="U14" s="22">
        <f>IFERROR(SUMPRODUCT($E$7:$E$21,$F$7:$F$21)/$U$5,"")</f>
        <v>20</v>
      </c>
      <c r="V14" s="25"/>
      <c r="W14" s="23" t="s">
        <v>82</v>
      </c>
    </row>
    <row r="15" spans="1:23" ht="21.75" customHeight="1" x14ac:dyDescent="0.25">
      <c r="A15" s="23" t="s">
        <v>102</v>
      </c>
      <c r="B15" s="24" t="s">
        <v>103</v>
      </c>
      <c r="C15" s="24"/>
      <c r="D15" s="24"/>
      <c r="E15" s="19"/>
      <c r="F15" s="25">
        <f>IF($B15="","",IF($W15="MANUAL",$V15,Inputs!$B$4))</f>
        <v>20</v>
      </c>
      <c r="G15" s="23"/>
      <c r="H15" s="25"/>
      <c r="I15" s="26">
        <f>IF(OR(F15="",F15=0),"",((F15*(1+Inputs!$B$44))/Inputs!$B$42)*(Inputs!$B$43/Inputs!$B$6))</f>
        <v>73.469387755102048</v>
      </c>
      <c r="J15" s="26" t="str">
        <f>IF(E15="","",IF(G15="AUTO",I15*Inputs!$B$42,H15))</f>
        <v/>
      </c>
      <c r="K15" s="19"/>
      <c r="L15" s="19"/>
      <c r="M15" s="19"/>
      <c r="N15" s="25"/>
      <c r="O15" s="26" t="str">
        <f t="shared" si="0"/>
        <v/>
      </c>
      <c r="P15" s="26" t="str">
        <f t="shared" si="1"/>
        <v/>
      </c>
      <c r="Q15" s="26" t="str">
        <f t="shared" si="2"/>
        <v/>
      </c>
      <c r="R15" s="26" t="str">
        <f t="shared" si="3"/>
        <v/>
      </c>
      <c r="S15" s="27" t="str">
        <f t="shared" si="4"/>
        <v/>
      </c>
      <c r="T15" s="18" t="s">
        <v>104</v>
      </c>
      <c r="U15" s="22">
        <f>IFERROR(U7/U5,"")</f>
        <v>51.428571428571423</v>
      </c>
      <c r="V15" s="25"/>
      <c r="W15" s="23" t="s">
        <v>82</v>
      </c>
    </row>
    <row r="16" spans="1:23" ht="21.75" customHeight="1" x14ac:dyDescent="0.25">
      <c r="A16" s="23" t="s">
        <v>105</v>
      </c>
      <c r="B16" s="24" t="s">
        <v>106</v>
      </c>
      <c r="C16" s="24"/>
      <c r="D16" s="24"/>
      <c r="E16" s="19"/>
      <c r="F16" s="25">
        <f>IF($B16="","",IF($W16="MANUAL",$V16,Inputs!$B$4))</f>
        <v>20</v>
      </c>
      <c r="G16" s="23"/>
      <c r="H16" s="25"/>
      <c r="I16" s="26">
        <f>IF(OR(F16="",F16=0),"",((F16*(1+Inputs!$B$44))/Inputs!$B$42)*(Inputs!$B$43/Inputs!$B$6))</f>
        <v>73.469387755102048</v>
      </c>
      <c r="J16" s="26" t="str">
        <f>IF(E16="","",IF(G16="AUTO",I16*Inputs!$B$42,H16))</f>
        <v/>
      </c>
      <c r="K16" s="19"/>
      <c r="L16" s="19"/>
      <c r="M16" s="19"/>
      <c r="N16" s="25"/>
      <c r="O16" s="26" t="str">
        <f t="shared" si="0"/>
        <v/>
      </c>
      <c r="P16" s="26" t="str">
        <f t="shared" si="1"/>
        <v/>
      </c>
      <c r="Q16" s="26" t="str">
        <f t="shared" si="2"/>
        <v/>
      </c>
      <c r="R16" s="26" t="str">
        <f t="shared" si="3"/>
        <v/>
      </c>
      <c r="S16" s="27" t="str">
        <f t="shared" si="4"/>
        <v/>
      </c>
      <c r="T16" s="18" t="s">
        <v>107</v>
      </c>
      <c r="U16" s="22">
        <f>IF(U7="","",U7*52)</f>
        <v>2578011.4285714286</v>
      </c>
      <c r="V16" s="25"/>
      <c r="W16" s="23" t="s">
        <v>82</v>
      </c>
    </row>
    <row r="17" spans="1:27" ht="21.75" customHeight="1" x14ac:dyDescent="0.25">
      <c r="A17" s="23" t="s">
        <v>108</v>
      </c>
      <c r="B17" s="24" t="s">
        <v>109</v>
      </c>
      <c r="C17" s="24"/>
      <c r="D17" s="24"/>
      <c r="E17" s="19"/>
      <c r="F17" s="25">
        <f>IF($B17="","",IF($W17="MANUAL",$V17,Inputs!$B$4))</f>
        <v>20</v>
      </c>
      <c r="G17" s="23"/>
      <c r="H17" s="25"/>
      <c r="I17" s="26">
        <f>IF(OR(F17="",F17=0),"",((F17*(1+Inputs!$B$44))/Inputs!$B$42)*(Inputs!$B$43/Inputs!$B$6))</f>
        <v>73.469387755102048</v>
      </c>
      <c r="J17" s="26" t="str">
        <f>IF(E17="","",IF(G17="AUTO",I17*Inputs!$B$42,H17))</f>
        <v/>
      </c>
      <c r="K17" s="19"/>
      <c r="L17" s="19"/>
      <c r="M17" s="19"/>
      <c r="N17" s="25"/>
      <c r="O17" s="26" t="str">
        <f t="shared" si="0"/>
        <v/>
      </c>
      <c r="P17" s="26" t="str">
        <f t="shared" si="1"/>
        <v/>
      </c>
      <c r="Q17" s="26" t="str">
        <f t="shared" si="2"/>
        <v/>
      </c>
      <c r="R17" s="26" t="str">
        <f t="shared" si="3"/>
        <v/>
      </c>
      <c r="S17" s="27" t="str">
        <f t="shared" si="4"/>
        <v/>
      </c>
      <c r="T17" s="18" t="s">
        <v>110</v>
      </c>
      <c r="U17" s="22">
        <f>IF(U6="","",U6*52)</f>
        <v>1002560</v>
      </c>
      <c r="V17" s="25"/>
      <c r="W17" s="23" t="s">
        <v>82</v>
      </c>
    </row>
    <row r="18" spans="1:27" ht="21.75" customHeight="1" x14ac:dyDescent="0.25">
      <c r="A18" s="23" t="s">
        <v>111</v>
      </c>
      <c r="B18" s="24" t="s">
        <v>112</v>
      </c>
      <c r="C18" s="24"/>
      <c r="D18" s="24"/>
      <c r="E18" s="19"/>
      <c r="F18" s="25">
        <f>IF($B18="","",IF($W18="MANUAL",$V18,Inputs!$B$4))</f>
        <v>20</v>
      </c>
      <c r="G18" s="23"/>
      <c r="H18" s="25"/>
      <c r="I18" s="26">
        <f>IF(OR(F18="",F18=0),"",((F18*(1+Inputs!$B$44))/Inputs!$B$42)*(Inputs!$B$43/Inputs!$B$6))</f>
        <v>73.469387755102048</v>
      </c>
      <c r="J18" s="26" t="str">
        <f>IF(E18="","",IF(G18="AUTO",I18*Inputs!$B$42,H18))</f>
        <v/>
      </c>
      <c r="K18" s="19"/>
      <c r="L18" s="19"/>
      <c r="M18" s="19"/>
      <c r="N18" s="25"/>
      <c r="O18" s="26" t="str">
        <f t="shared" si="0"/>
        <v/>
      </c>
      <c r="P18" s="26" t="str">
        <f t="shared" si="1"/>
        <v/>
      </c>
      <c r="Q18" s="26" t="str">
        <f t="shared" si="2"/>
        <v/>
      </c>
      <c r="R18" s="26" t="str">
        <f t="shared" si="3"/>
        <v/>
      </c>
      <c r="S18" s="27" t="str">
        <f t="shared" si="4"/>
        <v/>
      </c>
      <c r="T18" s="18" t="s">
        <v>113</v>
      </c>
      <c r="U18" s="22">
        <f>IF(U8="","",U8*52)</f>
        <v>0</v>
      </c>
      <c r="V18" s="25"/>
      <c r="W18" s="23" t="s">
        <v>82</v>
      </c>
    </row>
    <row r="19" spans="1:27" ht="21.75" customHeight="1" x14ac:dyDescent="0.25">
      <c r="A19" s="23" t="s">
        <v>114</v>
      </c>
      <c r="B19" s="24" t="s">
        <v>115</v>
      </c>
      <c r="C19" s="24"/>
      <c r="D19" s="24"/>
      <c r="E19" s="19"/>
      <c r="F19" s="25">
        <f>IF($B19="","",IF($W19="MANUAL",$V19,Inputs!$B$4))</f>
        <v>20</v>
      </c>
      <c r="G19" s="23"/>
      <c r="H19" s="25"/>
      <c r="I19" s="26">
        <f>IF(OR(F19="",F19=0),"",((F19*(1+Inputs!$B$44))/Inputs!$B$42)*(Inputs!$B$43/Inputs!$B$6))</f>
        <v>73.469387755102048</v>
      </c>
      <c r="J19" s="26" t="str">
        <f>IF(E19="","",IF(G19="AUTO",I19*Inputs!$B$42,H19))</f>
        <v/>
      </c>
      <c r="K19" s="19"/>
      <c r="L19" s="19"/>
      <c r="M19" s="19"/>
      <c r="N19" s="25"/>
      <c r="O19" s="26" t="str">
        <f t="shared" si="0"/>
        <v/>
      </c>
      <c r="P19" s="26" t="str">
        <f t="shared" si="1"/>
        <v/>
      </c>
      <c r="Q19" s="26" t="str">
        <f t="shared" si="2"/>
        <v/>
      </c>
      <c r="R19" s="26" t="str">
        <f t="shared" si="3"/>
        <v/>
      </c>
      <c r="S19" s="27" t="str">
        <f t="shared" si="4"/>
        <v/>
      </c>
      <c r="T19" s="18" t="s">
        <v>116</v>
      </c>
      <c r="U19" s="22">
        <f>IF(U9="","",U9*52)</f>
        <v>1575451.4285714286</v>
      </c>
      <c r="V19" s="25"/>
      <c r="W19" s="23" t="s">
        <v>82</v>
      </c>
    </row>
    <row r="20" spans="1:27" ht="21.75" customHeight="1" x14ac:dyDescent="0.25">
      <c r="A20" s="23" t="s">
        <v>117</v>
      </c>
      <c r="B20" s="24" t="s">
        <v>118</v>
      </c>
      <c r="C20" s="24"/>
      <c r="D20" s="24"/>
      <c r="E20" s="19"/>
      <c r="F20" s="25">
        <f>IF($B20="","",IF($W20="MANUAL",$V20,Inputs!$B$4))</f>
        <v>20</v>
      </c>
      <c r="G20" s="23"/>
      <c r="H20" s="25"/>
      <c r="I20" s="26">
        <f>IF(OR(F20="",F20=0),"",((F20*(1+Inputs!$B$44))/Inputs!$B$42)*(Inputs!$B$43/Inputs!$B$6))</f>
        <v>73.469387755102048</v>
      </c>
      <c r="J20" s="26" t="str">
        <f>IF(E20="","",IF(G20="AUTO",I20*Inputs!$B$42,H20))</f>
        <v/>
      </c>
      <c r="K20" s="19"/>
      <c r="L20" s="19"/>
      <c r="M20" s="19"/>
      <c r="N20" s="25"/>
      <c r="O20" s="26" t="str">
        <f t="shared" si="0"/>
        <v/>
      </c>
      <c r="P20" s="26" t="str">
        <f t="shared" si="1"/>
        <v/>
      </c>
      <c r="Q20" s="26" t="str">
        <f t="shared" si="2"/>
        <v/>
      </c>
      <c r="R20" s="26" t="str">
        <f t="shared" si="3"/>
        <v/>
      </c>
      <c r="S20" s="27" t="str">
        <f t="shared" si="4"/>
        <v/>
      </c>
      <c r="T20" s="18" t="s">
        <v>119</v>
      </c>
      <c r="U20" s="22">
        <f>IFERROR(U15-Vendor_Pricing!B7,"")</f>
        <v>7.7142857142857082</v>
      </c>
      <c r="V20" s="25"/>
      <c r="W20" s="23" t="s">
        <v>82</v>
      </c>
    </row>
    <row r="21" spans="1:27" ht="21.75" customHeight="1" x14ac:dyDescent="0.25">
      <c r="A21" s="23" t="s">
        <v>120</v>
      </c>
      <c r="B21" s="24" t="s">
        <v>121</v>
      </c>
      <c r="C21" s="24"/>
      <c r="D21" s="24"/>
      <c r="E21" s="19"/>
      <c r="F21" s="25">
        <f>IF($B21="","",IF($W21="MANUAL",$V21,Inputs!$B$4))</f>
        <v>20</v>
      </c>
      <c r="G21" s="23"/>
      <c r="H21" s="25"/>
      <c r="I21" s="26">
        <f>IF(OR(F21="",F21=0),"",((F21*(1+Inputs!$B$44))/Inputs!$B$42)*(Inputs!$B$43/Inputs!$B$6))</f>
        <v>73.469387755102048</v>
      </c>
      <c r="J21" s="26" t="str">
        <f>IF(E21="","",IF(G21="AUTO",I21*Inputs!$B$42,H21))</f>
        <v/>
      </c>
      <c r="K21" s="19"/>
      <c r="L21" s="19"/>
      <c r="M21" s="19"/>
      <c r="N21" s="25"/>
      <c r="O21" s="26" t="str">
        <f t="shared" si="0"/>
        <v/>
      </c>
      <c r="P21" s="26" t="str">
        <f t="shared" si="1"/>
        <v/>
      </c>
      <c r="Q21" s="26" t="str">
        <f t="shared" si="2"/>
        <v/>
      </c>
      <c r="R21" s="26" t="str">
        <f t="shared" si="3"/>
        <v/>
      </c>
      <c r="S21" s="27" t="str">
        <f t="shared" si="4"/>
        <v/>
      </c>
      <c r="T21" s="18" t="s">
        <v>122</v>
      </c>
      <c r="U21" s="29" t="str">
        <f>IF(U5&gt;0,"ACTIVE - pricing tabs linked to Post_Positions","INACTIVE - using manual worksheet inputs")</f>
        <v>ACTIVE - pricing tabs linked to Post_Positions</v>
      </c>
      <c r="V21" s="25"/>
      <c r="W21" s="23" t="s">
        <v>82</v>
      </c>
    </row>
    <row r="22" spans="1:27" ht="21.75" customHeight="1" x14ac:dyDescent="0.25">
      <c r="A22" s="30" t="s">
        <v>123</v>
      </c>
      <c r="B22" s="31"/>
      <c r="C22" s="31"/>
      <c r="D22" s="31"/>
      <c r="E22" s="32">
        <f>SUBTOTAL(109,Post_Positions!$E$7:$E$21)</f>
        <v>964</v>
      </c>
      <c r="F22" s="31"/>
      <c r="G22" s="31"/>
      <c r="H22" s="31"/>
      <c r="I22" s="31"/>
      <c r="J22" s="31"/>
      <c r="K22" s="33"/>
      <c r="L22" s="33"/>
      <c r="M22" s="33"/>
      <c r="N22" s="31"/>
      <c r="O22" s="34">
        <f>SUBTOTAL(109,Post_Positions!$O$7:$O$21)</f>
        <v>19280</v>
      </c>
      <c r="P22" s="34">
        <f>SUBTOTAL(109,Post_Positions!$P$7:$P$21)</f>
        <v>49577.142857142855</v>
      </c>
      <c r="Q22" s="34">
        <f>SUBTOTAL(109,Post_Positions!$Q$7:$Q$21)</f>
        <v>0</v>
      </c>
      <c r="R22" s="34">
        <f>SUBTOTAL(109,Post_Positions!$R$7:$R$21)</f>
        <v>30297.142857142859</v>
      </c>
      <c r="S22" s="32">
        <f>SUBTOTAL(109,Post_Positions!$S$7:$S$21)</f>
        <v>35</v>
      </c>
      <c r="T22" s="18" t="s">
        <v>124</v>
      </c>
      <c r="U22" s="28">
        <f>X33</f>
        <v>8736</v>
      </c>
      <c r="V22" s="31"/>
      <c r="W22" s="31"/>
    </row>
    <row r="23" spans="1:27" ht="26.4" customHeight="1" x14ac:dyDescent="0.3">
      <c r="T23" s="18" t="s">
        <v>125</v>
      </c>
      <c r="U23" s="28">
        <f>X36</f>
        <v>964</v>
      </c>
    </row>
    <row r="24" spans="1:27" ht="27.75" customHeight="1" x14ac:dyDescent="0.3">
      <c r="T24" s="18" t="s">
        <v>126</v>
      </c>
      <c r="U24" s="28">
        <f>X37</f>
        <v>50128</v>
      </c>
      <c r="W24" s="173" t="s">
        <v>127</v>
      </c>
      <c r="X24" s="178"/>
      <c r="Y24" s="178"/>
      <c r="Z24" s="178"/>
      <c r="AA24" s="178"/>
    </row>
    <row r="25" spans="1:27" ht="21.75" customHeight="1" x14ac:dyDescent="0.3">
      <c r="T25" s="18" t="s">
        <v>128</v>
      </c>
      <c r="U25" s="158">
        <f>X38</f>
        <v>34.428571428571431</v>
      </c>
      <c r="W25" s="171" t="s">
        <v>129</v>
      </c>
      <c r="X25" s="178"/>
      <c r="Y25" s="178"/>
      <c r="Z25" s="178"/>
      <c r="AA25" s="178"/>
    </row>
    <row r="26" spans="1:27" ht="19.5" customHeight="1" x14ac:dyDescent="0.3">
      <c r="W26" s="175" t="s">
        <v>130</v>
      </c>
      <c r="X26" s="178"/>
      <c r="Y26" s="178"/>
      <c r="Z26" s="3"/>
      <c r="AA26" s="3"/>
    </row>
    <row r="27" spans="1:27" ht="19.5" customHeight="1" x14ac:dyDescent="0.3">
      <c r="W27" s="6" t="s">
        <v>131</v>
      </c>
      <c r="X27" s="7">
        <v>24</v>
      </c>
    </row>
    <row r="28" spans="1:27" ht="19.5" customHeight="1" x14ac:dyDescent="0.3">
      <c r="W28" s="6" t="s">
        <v>132</v>
      </c>
      <c r="X28" s="7">
        <v>7</v>
      </c>
    </row>
    <row r="29" spans="1:27" ht="19.5" customHeight="1" x14ac:dyDescent="0.3">
      <c r="W29" s="6" t="s">
        <v>133</v>
      </c>
      <c r="X29" s="7">
        <v>52</v>
      </c>
    </row>
    <row r="30" spans="1:27" ht="19.5" customHeight="1" x14ac:dyDescent="0.3">
      <c r="W30" s="6" t="s">
        <v>134</v>
      </c>
      <c r="X30" s="7">
        <v>1</v>
      </c>
    </row>
    <row r="31" spans="1:27" ht="19.5" customHeight="1" x14ac:dyDescent="0.3">
      <c r="W31" s="35"/>
      <c r="X31" s="35"/>
    </row>
    <row r="32" spans="1:27" ht="19.5" customHeight="1" x14ac:dyDescent="0.3">
      <c r="W32" s="175" t="s">
        <v>135</v>
      </c>
      <c r="X32" s="178"/>
      <c r="Y32" s="178"/>
      <c r="Z32" s="178"/>
      <c r="AA32" s="3"/>
    </row>
    <row r="33" spans="23:27" ht="28.2" customHeight="1" x14ac:dyDescent="0.3">
      <c r="W33" s="6" t="s">
        <v>124</v>
      </c>
      <c r="X33" s="36">
        <f>X27*X28*X29*X30</f>
        <v>8736</v>
      </c>
    </row>
    <row r="34" spans="23:27" ht="19.5" customHeight="1" x14ac:dyDescent="0.3">
      <c r="W34" s="6" t="s">
        <v>136</v>
      </c>
      <c r="X34" s="37">
        <f>X27/8</f>
        <v>3</v>
      </c>
    </row>
    <row r="35" spans="23:27" ht="19.5" customHeight="1" x14ac:dyDescent="0.3">
      <c r="W35" s="6" t="s">
        <v>137</v>
      </c>
      <c r="X35" s="36">
        <f>X27*X30</f>
        <v>24</v>
      </c>
    </row>
    <row r="36" spans="23:27" ht="19.5" customHeight="1" x14ac:dyDescent="0.3">
      <c r="W36" s="6" t="s">
        <v>125</v>
      </c>
      <c r="X36" s="36">
        <f>IF(Post_Positions!$U$5&gt;0,Post_Positions!$U$5,X27*X28*X30)</f>
        <v>964</v>
      </c>
    </row>
    <row r="37" spans="23:27" ht="19.5" customHeight="1" x14ac:dyDescent="0.3">
      <c r="W37" s="6" t="s">
        <v>126</v>
      </c>
      <c r="X37" s="36">
        <f>IF(Post_Positions!$U$5&gt;0,Post_Positions!$U$13,X33)</f>
        <v>50128</v>
      </c>
    </row>
    <row r="38" spans="23:27" ht="19.5" customHeight="1" x14ac:dyDescent="0.3">
      <c r="W38" s="6" t="s">
        <v>138</v>
      </c>
      <c r="X38" s="14">
        <f>IFERROR(X37/Inputs!$B$5,0)</f>
        <v>34.428571428571431</v>
      </c>
    </row>
    <row r="39" spans="23:27" ht="19.5" customHeight="1" x14ac:dyDescent="0.3">
      <c r="W39" s="6" t="s">
        <v>139</v>
      </c>
      <c r="X39" s="14">
        <f>IFERROR(X37/Inputs!$B$6,0)</f>
        <v>34.428571428571431</v>
      </c>
    </row>
    <row r="40" spans="23:27" ht="19.5" customHeight="1" x14ac:dyDescent="0.3"/>
    <row r="41" spans="23:27" ht="19.5" customHeight="1" x14ac:dyDescent="0.3">
      <c r="W41" s="175" t="s">
        <v>140</v>
      </c>
      <c r="X41" s="178"/>
      <c r="Y41" s="178"/>
      <c r="Z41" s="178"/>
      <c r="AA41" s="3"/>
    </row>
  </sheetData>
  <mergeCells count="10">
    <mergeCell ref="W32:Z32"/>
    <mergeCell ref="W41:Z41"/>
    <mergeCell ref="T4:U4"/>
    <mergeCell ref="W25:AA25"/>
    <mergeCell ref="T1:U1"/>
    <mergeCell ref="A1:S1"/>
    <mergeCell ref="W24:AA24"/>
    <mergeCell ref="W26:Y26"/>
    <mergeCell ref="A2:S2"/>
    <mergeCell ref="T11:U12"/>
  </mergeCells>
  <conditionalFormatting sqref="G7:G500">
    <cfRule type="cellIs" dxfId="7" priority="2" operator="equal">
      <formula>"AUTO"</formula>
    </cfRule>
    <cfRule type="cellIs" dxfId="6" priority="3" operator="equal">
      <formula>"MANUAL"</formula>
    </cfRule>
  </conditionalFormatting>
  <conditionalFormatting sqref="H7:H500">
    <cfRule type="expression" dxfId="5" priority="4">
      <formula>$G7="MANUAL"</formula>
    </cfRule>
  </conditionalFormatting>
  <conditionalFormatting sqref="I7:I500">
    <cfRule type="expression" dxfId="4" priority="5">
      <formula>$G7="AUTO"</formula>
    </cfRule>
  </conditionalFormatting>
  <dataValidations count="5">
    <dataValidation type="list" operator="equal" allowBlank="1" error="Choose AUTO or MANUAL." prompt="Select AUTO to use the model-driven bill rate or MANUAL to enter your own rate." sqref="G7:G500" xr:uid="{00000000-0002-0000-0100-000000000000}">
      <formula1>"AUTO,MANUAL"</formula1>
      <formula2>0</formula2>
    </dataValidation>
    <dataValidation type="list" operator="equal" sqref="X27" xr:uid="{00000000-0002-0000-0100-000001000000}">
      <formula1>"1,2,3,4,5,6,7,8,9,10,11,12,13,14,15,16,17,18,19,20,21,22,23,24"</formula1>
      <formula2>0</formula2>
    </dataValidation>
    <dataValidation type="list" operator="equal" sqref="X28" xr:uid="{00000000-0002-0000-0100-000002000000}">
      <formula1>"1,2,3,4,5,6,7"</formula1>
      <formula2>0</formula2>
    </dataValidation>
    <dataValidation type="list" operator="equal" sqref="X29" xr:uid="{00000000-0002-0000-0100-000003000000}">
      <formula1>"1,2,3,4,5,6,7,8,9,10,11,12,13,14,15,16,17,18,19,20,21,22,23,24,25,26,27,28,29,30,31,32,33,34,35,36,37,38,39,40,41,42,43,44,45,46,47,48,49,50,51,52"</formula1>
      <formula2>0</formula2>
    </dataValidation>
    <dataValidation type="list" allowBlank="1" error="Choose AUTO or MANUAL." prompt="Select AUTO to use Inputs!B4 or MANUAL to use the row manual pay wage." sqref="W7:W21" xr:uid="{00000000-0002-0000-0100-000004000000}">
      <formula1>"AUTO,MANUAL"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6C28A"/>
  </sheetPr>
  <dimension ref="A1:J19"/>
  <sheetViews>
    <sheetView workbookViewId="0">
      <selection sqref="A1:E1"/>
    </sheetView>
  </sheetViews>
  <sheetFormatPr defaultColWidth="8.6640625" defaultRowHeight="14.4" x14ac:dyDescent="0.3"/>
  <cols>
    <col min="1" max="1" width="34" style="1" customWidth="1"/>
    <col min="2" max="2" width="18" style="1" customWidth="1"/>
    <col min="3" max="3" width="14" style="1" customWidth="1"/>
    <col min="4" max="4" width="16" style="1" customWidth="1"/>
    <col min="5" max="5" width="24" style="1" customWidth="1"/>
    <col min="6" max="6" width="14" style="1" customWidth="1"/>
    <col min="7" max="9" width="18" style="1" customWidth="1"/>
    <col min="10" max="10" width="13" style="1" customWidth="1"/>
  </cols>
  <sheetData>
    <row r="1" spans="1:5" ht="27.75" customHeight="1" x14ac:dyDescent="0.3">
      <c r="A1" s="173" t="s">
        <v>141</v>
      </c>
      <c r="B1" s="172"/>
      <c r="C1" s="172"/>
      <c r="D1" s="172"/>
      <c r="E1" s="172"/>
    </row>
    <row r="2" spans="1:5" ht="21.75" customHeight="1" x14ac:dyDescent="0.3">
      <c r="A2" s="171" t="s">
        <v>142</v>
      </c>
      <c r="B2" s="172"/>
      <c r="C2" s="172"/>
      <c r="D2" s="172"/>
      <c r="E2" s="172"/>
    </row>
    <row r="3" spans="1:5" ht="19.5" customHeight="1" x14ac:dyDescent="0.3">
      <c r="A3" s="175" t="s">
        <v>143</v>
      </c>
      <c r="B3" s="172"/>
      <c r="C3" s="172"/>
      <c r="D3" s="3"/>
      <c r="E3" s="3"/>
    </row>
    <row r="4" spans="1:5" ht="19.5" customHeight="1" x14ac:dyDescent="0.3">
      <c r="A4" s="6" t="s">
        <v>131</v>
      </c>
      <c r="B4" s="7">
        <f>Post_Positions!$X$27</f>
        <v>24</v>
      </c>
    </row>
    <row r="5" spans="1:5" ht="19.5" customHeight="1" x14ac:dyDescent="0.3">
      <c r="A5" s="6" t="s">
        <v>132</v>
      </c>
      <c r="B5" s="7">
        <f>Post_Positions!$X$28</f>
        <v>7</v>
      </c>
    </row>
    <row r="6" spans="1:5" ht="19.5" customHeight="1" x14ac:dyDescent="0.3">
      <c r="A6" s="6" t="s">
        <v>133</v>
      </c>
      <c r="B6" s="7">
        <f>Post_Positions!$X$29</f>
        <v>52</v>
      </c>
    </row>
    <row r="7" spans="1:5" ht="19.5" customHeight="1" x14ac:dyDescent="0.3">
      <c r="A7" s="6" t="s">
        <v>134</v>
      </c>
      <c r="B7" s="7">
        <f>Post_Positions!$X$30</f>
        <v>1</v>
      </c>
    </row>
    <row r="8" spans="1:5" ht="19.5" customHeight="1" x14ac:dyDescent="0.3">
      <c r="A8" s="35"/>
      <c r="B8" s="35"/>
    </row>
    <row r="9" spans="1:5" ht="19.5" customHeight="1" x14ac:dyDescent="0.3">
      <c r="A9" s="175" t="s">
        <v>135</v>
      </c>
      <c r="B9" s="172"/>
      <c r="C9" s="172"/>
      <c r="D9" s="172"/>
      <c r="E9" s="3"/>
    </row>
    <row r="10" spans="1:5" ht="19.5" customHeight="1" x14ac:dyDescent="0.3">
      <c r="A10" s="6" t="s">
        <v>124</v>
      </c>
      <c r="B10" s="36">
        <f>Post_Positions!$X$33</f>
        <v>8736</v>
      </c>
    </row>
    <row r="11" spans="1:5" ht="19.5" customHeight="1" x14ac:dyDescent="0.3">
      <c r="A11" s="6" t="s">
        <v>136</v>
      </c>
      <c r="B11" s="37">
        <f>Post_Positions!$X$34</f>
        <v>3</v>
      </c>
    </row>
    <row r="12" spans="1:5" ht="19.5" customHeight="1" x14ac:dyDescent="0.3">
      <c r="A12" s="6" t="s">
        <v>137</v>
      </c>
      <c r="B12" s="36">
        <f>Post_Positions!$X$35</f>
        <v>24</v>
      </c>
    </row>
    <row r="13" spans="1:5" ht="19.5" customHeight="1" x14ac:dyDescent="0.3">
      <c r="A13" s="6" t="s">
        <v>125</v>
      </c>
      <c r="B13" s="36">
        <f>Post_Positions!$X$36</f>
        <v>964</v>
      </c>
    </row>
    <row r="14" spans="1:5" ht="19.5" customHeight="1" x14ac:dyDescent="0.3">
      <c r="A14" s="6" t="s">
        <v>126</v>
      </c>
      <c r="B14" s="36">
        <f>Post_Positions!$X$37</f>
        <v>50128</v>
      </c>
    </row>
    <row r="15" spans="1:5" ht="19.5" customHeight="1" x14ac:dyDescent="0.3">
      <c r="A15" s="6" t="s">
        <v>138</v>
      </c>
      <c r="B15" s="14">
        <f>Post_Positions!$X$38</f>
        <v>34.428571428571431</v>
      </c>
    </row>
    <row r="16" spans="1:5" ht="19.5" customHeight="1" x14ac:dyDescent="0.3">
      <c r="A16" s="6" t="s">
        <v>139</v>
      </c>
      <c r="B16" s="14">
        <f>Post_Positions!$X$39</f>
        <v>34.428571428571431</v>
      </c>
    </row>
    <row r="17" spans="1:5" ht="19.5" customHeight="1" x14ac:dyDescent="0.3"/>
    <row r="18" spans="1:5" ht="19.5" customHeight="1" x14ac:dyDescent="0.3">
      <c r="A18" s="175" t="s">
        <v>140</v>
      </c>
      <c r="B18" s="172"/>
      <c r="C18" s="172"/>
      <c r="D18" s="172"/>
      <c r="E18" s="3"/>
    </row>
    <row r="19" spans="1:5" ht="19.5" customHeight="1" x14ac:dyDescent="0.3">
      <c r="A19" s="38" t="s">
        <v>144</v>
      </c>
      <c r="B19" s="3"/>
      <c r="C19" s="3"/>
      <c r="D19" s="3"/>
      <c r="E19" s="3"/>
    </row>
  </sheetData>
  <mergeCells count="5">
    <mergeCell ref="A9:D9"/>
    <mergeCell ref="A18:D18"/>
    <mergeCell ref="A2:E2"/>
    <mergeCell ref="A1:E1"/>
    <mergeCell ref="A3:C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FBAD0"/>
  </sheetPr>
  <dimension ref="A1:J9"/>
  <sheetViews>
    <sheetView workbookViewId="0">
      <selection activeCell="B4" sqref="B4"/>
    </sheetView>
  </sheetViews>
  <sheetFormatPr defaultColWidth="8.6640625" defaultRowHeight="14.4" x14ac:dyDescent="0.3"/>
  <cols>
    <col min="1" max="1" width="42.5546875" style="1" customWidth="1"/>
    <col min="2" max="2" width="18" style="1" customWidth="1"/>
    <col min="3" max="3" width="14" style="1" customWidth="1"/>
    <col min="4" max="4" width="16" style="1" customWidth="1"/>
    <col min="5" max="5" width="34.88671875" style="1" customWidth="1"/>
    <col min="6" max="6" width="14" style="1" customWidth="1"/>
    <col min="7" max="9" width="18" style="1" customWidth="1"/>
    <col min="10" max="10" width="13" style="1" customWidth="1"/>
  </cols>
  <sheetData>
    <row r="1" spans="1:5" ht="27.75" customHeight="1" x14ac:dyDescent="0.3">
      <c r="A1" s="173" t="s">
        <v>145</v>
      </c>
      <c r="B1" s="172"/>
      <c r="C1" s="172"/>
      <c r="D1" s="172"/>
      <c r="E1" s="172"/>
    </row>
    <row r="2" spans="1:5" ht="21.75" customHeight="1" x14ac:dyDescent="0.3">
      <c r="A2" s="171" t="s">
        <v>1</v>
      </c>
      <c r="B2" s="172"/>
      <c r="C2" s="172"/>
      <c r="D2" s="172"/>
      <c r="E2" s="172"/>
    </row>
    <row r="3" spans="1:5" ht="18.75" customHeight="1" x14ac:dyDescent="0.3">
      <c r="A3" s="39" t="s">
        <v>59</v>
      </c>
      <c r="B3" s="40" t="s">
        <v>146</v>
      </c>
      <c r="C3" s="40" t="s">
        <v>147</v>
      </c>
      <c r="D3" s="40" t="s">
        <v>148</v>
      </c>
      <c r="E3" s="41"/>
    </row>
    <row r="4" spans="1:5" ht="19.5" customHeight="1" x14ac:dyDescent="0.3">
      <c r="A4" s="6" t="s">
        <v>149</v>
      </c>
      <c r="B4" s="44">
        <f>Inputs!B4</f>
        <v>20</v>
      </c>
      <c r="C4" s="42">
        <f>Inputs!B4</f>
        <v>20</v>
      </c>
      <c r="D4" s="15">
        <f>C4*Scope_of_Work!$B$14</f>
        <v>1002560</v>
      </c>
    </row>
    <row r="5" spans="1:5" ht="19.5" customHeight="1" x14ac:dyDescent="0.3">
      <c r="A5" s="6" t="s">
        <v>150</v>
      </c>
      <c r="B5" s="43">
        <f>Inputs!B4*Inputs!B7</f>
        <v>3.4799999999999995</v>
      </c>
      <c r="C5" s="42">
        <f>B5</f>
        <v>3.4799999999999995</v>
      </c>
      <c r="D5" s="15">
        <f>C5*Scope_of_Work!$B$14</f>
        <v>174445.43999999997</v>
      </c>
    </row>
    <row r="6" spans="1:5" ht="19.5" customHeight="1" x14ac:dyDescent="0.3">
      <c r="A6" s="6" t="s">
        <v>151</v>
      </c>
      <c r="B6" s="43">
        <f>Inputs!B4*Inputs!B8</f>
        <v>0.152</v>
      </c>
      <c r="C6" s="42">
        <f>B6</f>
        <v>0.152</v>
      </c>
      <c r="D6" s="15">
        <f>C6*Scope_of_Work!$B$14</f>
        <v>7619.4560000000001</v>
      </c>
    </row>
    <row r="7" spans="1:5" ht="19.5" customHeight="1" x14ac:dyDescent="0.3">
      <c r="A7" s="6" t="s">
        <v>152</v>
      </c>
      <c r="B7" s="44">
        <f>Inputs!B4*Inputs!B9</f>
        <v>0.84599999999999997</v>
      </c>
      <c r="C7" s="42">
        <f>B7</f>
        <v>0.84599999999999997</v>
      </c>
      <c r="D7" s="15">
        <f>C7*Scope_of_Work!$B$14</f>
        <v>42408.288</v>
      </c>
    </row>
    <row r="8" spans="1:5" ht="19.5" customHeight="1" x14ac:dyDescent="0.3">
      <c r="A8" s="45" t="s">
        <v>153</v>
      </c>
      <c r="B8" s="46"/>
      <c r="C8" s="47">
        <f>SUM(C4:C7)</f>
        <v>24.478000000000002</v>
      </c>
      <c r="D8" s="47">
        <f>SUM(D4:D7)</f>
        <v>1227033.1839999999</v>
      </c>
    </row>
    <row r="9" spans="1:5" ht="15" hidden="1" customHeight="1" x14ac:dyDescent="0.3">
      <c r="A9" s="6" t="s">
        <v>154</v>
      </c>
      <c r="B9" s="46"/>
      <c r="C9" s="42">
        <f>C8</f>
        <v>24.478000000000002</v>
      </c>
      <c r="D9" s="42">
        <f>D8</f>
        <v>1227033.1839999999</v>
      </c>
    </row>
  </sheetData>
  <mergeCells count="2">
    <mergeCell ref="A2:E2"/>
    <mergeCell ref="A1:E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FBAD0"/>
  </sheetPr>
  <dimension ref="A1:J12"/>
  <sheetViews>
    <sheetView workbookViewId="0">
      <selection activeCell="B9" sqref="B9"/>
    </sheetView>
  </sheetViews>
  <sheetFormatPr defaultColWidth="8.6640625" defaultRowHeight="14.4" x14ac:dyDescent="0.3"/>
  <cols>
    <col min="1" max="1" width="34" style="1" customWidth="1"/>
    <col min="2" max="2" width="18" style="1" customWidth="1"/>
    <col min="3" max="3" width="14" style="1" customWidth="1"/>
    <col min="4" max="4" width="16" style="1" customWidth="1"/>
    <col min="5" max="5" width="35.109375" style="1" customWidth="1"/>
    <col min="6" max="6" width="14" style="1" customWidth="1"/>
    <col min="7" max="9" width="18" style="1" customWidth="1"/>
    <col min="10" max="10" width="13" style="1" customWidth="1"/>
  </cols>
  <sheetData>
    <row r="1" spans="1:5" ht="27.75" customHeight="1" x14ac:dyDescent="0.3">
      <c r="A1" s="173" t="s">
        <v>155</v>
      </c>
      <c r="B1" s="172"/>
      <c r="C1" s="172"/>
      <c r="D1" s="172"/>
      <c r="E1" s="172"/>
    </row>
    <row r="2" spans="1:5" ht="21.75" customHeight="1" x14ac:dyDescent="0.3">
      <c r="A2" s="171" t="s">
        <v>1</v>
      </c>
      <c r="B2" s="172"/>
      <c r="C2" s="172"/>
      <c r="D2" s="172"/>
      <c r="E2" s="172"/>
    </row>
    <row r="3" spans="1:5" ht="18.75" customHeight="1" x14ac:dyDescent="0.3">
      <c r="A3" s="39" t="s">
        <v>59</v>
      </c>
      <c r="B3" s="40" t="s">
        <v>146</v>
      </c>
      <c r="C3" s="40" t="s">
        <v>147</v>
      </c>
      <c r="D3" s="40" t="s">
        <v>148</v>
      </c>
      <c r="E3" s="41"/>
    </row>
    <row r="4" spans="1:5" ht="19.5" customHeight="1" x14ac:dyDescent="0.3">
      <c r="A4" s="6" t="s">
        <v>156</v>
      </c>
      <c r="B4" s="43">
        <f>Direct_Labor!$C$8*Inputs!B12</f>
        <v>1.8725670000000001</v>
      </c>
      <c r="C4" s="42">
        <f t="shared" ref="C4:C11" si="0">B4</f>
        <v>1.8725670000000001</v>
      </c>
      <c r="D4" s="15">
        <f>C4*Scope_of_Work!$B$14</f>
        <v>93868.038576000006</v>
      </c>
    </row>
    <row r="5" spans="1:5" ht="19.5" customHeight="1" x14ac:dyDescent="0.3">
      <c r="A5" s="6" t="s">
        <v>157</v>
      </c>
      <c r="B5" s="43">
        <f>Direct_Labor!$C$8*Inputs!B13</f>
        <v>0.146868</v>
      </c>
      <c r="C5" s="42">
        <f t="shared" si="0"/>
        <v>0.146868</v>
      </c>
      <c r="D5" s="15">
        <f>C5*Scope_of_Work!$B$14</f>
        <v>7362.1991040000003</v>
      </c>
    </row>
    <row r="6" spans="1:5" ht="19.5" customHeight="1" x14ac:dyDescent="0.3">
      <c r="A6" s="6" t="s">
        <v>158</v>
      </c>
      <c r="B6" s="43">
        <f>Direct_Labor!$C$8*Inputs!B14</f>
        <v>0.36717</v>
      </c>
      <c r="C6" s="42">
        <f t="shared" si="0"/>
        <v>0.36717</v>
      </c>
      <c r="D6" s="15">
        <f>C6*Scope_of_Work!$B$14</f>
        <v>18405.497759999998</v>
      </c>
    </row>
    <row r="7" spans="1:5" ht="19.5" customHeight="1" x14ac:dyDescent="0.3">
      <c r="A7" s="6" t="s">
        <v>159</v>
      </c>
      <c r="B7" s="43">
        <f>Direct_Labor!$C$8*Inputs!B15</f>
        <v>1.2239000000000002</v>
      </c>
      <c r="C7" s="42">
        <f t="shared" si="0"/>
        <v>1.2239000000000002</v>
      </c>
      <c r="D7" s="15">
        <f>C7*Scope_of_Work!$B$14</f>
        <v>61351.659200000009</v>
      </c>
    </row>
    <row r="8" spans="1:5" ht="19.5" customHeight="1" x14ac:dyDescent="0.3">
      <c r="A8" s="6" t="s">
        <v>160</v>
      </c>
      <c r="B8" s="15">
        <f>Inputs!B16</f>
        <v>5.55</v>
      </c>
      <c r="C8" s="42">
        <f t="shared" si="0"/>
        <v>5.55</v>
      </c>
      <c r="D8" s="15">
        <f>C8*Scope_of_Work!$B$14</f>
        <v>278210.39999999997</v>
      </c>
    </row>
    <row r="9" spans="1:5" ht="19.5" customHeight="1" x14ac:dyDescent="0.3">
      <c r="A9" s="6" t="s">
        <v>161</v>
      </c>
      <c r="B9" s="44">
        <f>Direct_Labor!$C$8*Inputs!B17</f>
        <v>0.6119500000000001</v>
      </c>
      <c r="C9" s="42">
        <f t="shared" si="0"/>
        <v>0.6119500000000001</v>
      </c>
      <c r="D9" s="15">
        <f>C9*Scope_of_Work!$B$14</f>
        <v>30675.829600000005</v>
      </c>
    </row>
    <row r="10" spans="1:5" ht="19.5" customHeight="1" x14ac:dyDescent="0.3">
      <c r="A10" s="6" t="s">
        <v>162</v>
      </c>
      <c r="B10" s="44">
        <f>Direct_Labor!$C$8*Inputs!B18</f>
        <v>1.83585</v>
      </c>
      <c r="C10" s="48">
        <f t="shared" si="0"/>
        <v>1.83585</v>
      </c>
      <c r="D10" s="49">
        <f>C10*Scope_of_Work!$B$14</f>
        <v>92027.488799999992</v>
      </c>
    </row>
    <row r="11" spans="1:5" ht="19.5" customHeight="1" x14ac:dyDescent="0.3">
      <c r="A11" s="6" t="s">
        <v>163</v>
      </c>
      <c r="B11" s="44">
        <f>Direct_Labor!$C$8*Inputs!B19</f>
        <v>0.30597500000000005</v>
      </c>
      <c r="C11" s="42">
        <f t="shared" si="0"/>
        <v>0.30597500000000005</v>
      </c>
      <c r="D11" s="15">
        <f>C11*Scope_of_Work!$B$14</f>
        <v>15337.914800000002</v>
      </c>
    </row>
    <row r="12" spans="1:5" ht="19.5" customHeight="1" x14ac:dyDescent="0.3">
      <c r="A12" s="45" t="s">
        <v>164</v>
      </c>
      <c r="B12" s="46"/>
      <c r="C12" s="47">
        <f>SUM(C4:C11)</f>
        <v>11.914280000000002</v>
      </c>
      <c r="D12" s="47">
        <f>SUM(D4:D11)</f>
        <v>597239.02784</v>
      </c>
    </row>
  </sheetData>
  <mergeCells count="2">
    <mergeCell ref="A2:E2"/>
    <mergeCell ref="A1:E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FBAD0"/>
  </sheetPr>
  <dimension ref="A1:J34"/>
  <sheetViews>
    <sheetView workbookViewId="0">
      <selection activeCell="G17" sqref="G17"/>
    </sheetView>
  </sheetViews>
  <sheetFormatPr defaultColWidth="8.6640625" defaultRowHeight="14.4" x14ac:dyDescent="0.3"/>
  <cols>
    <col min="1" max="1" width="36.44140625" style="1" customWidth="1"/>
    <col min="2" max="2" width="18" style="1" customWidth="1"/>
    <col min="3" max="3" width="14" style="1" customWidth="1"/>
    <col min="4" max="5" width="16" style="1" customWidth="1"/>
    <col min="6" max="6" width="14" style="1" customWidth="1"/>
    <col min="7" max="9" width="18" style="1" customWidth="1"/>
    <col min="10" max="10" width="13" style="1" customWidth="1"/>
  </cols>
  <sheetData>
    <row r="1" spans="1:4" ht="27.75" customHeight="1" x14ac:dyDescent="0.3">
      <c r="A1" s="173" t="s">
        <v>165</v>
      </c>
      <c r="B1" s="172"/>
      <c r="C1" s="172"/>
      <c r="D1" s="172"/>
    </row>
    <row r="2" spans="1:4" ht="21.75" customHeight="1" x14ac:dyDescent="0.3">
      <c r="A2" s="171" t="s">
        <v>1</v>
      </c>
      <c r="B2" s="172"/>
      <c r="C2" s="172"/>
      <c r="D2" s="172"/>
    </row>
    <row r="3" spans="1:4" ht="19.5" customHeight="1" x14ac:dyDescent="0.3">
      <c r="A3" s="175" t="s">
        <v>166</v>
      </c>
      <c r="B3" s="172"/>
      <c r="C3" s="172"/>
      <c r="D3" s="172"/>
    </row>
    <row r="4" spans="1:4" ht="18.75" customHeight="1" x14ac:dyDescent="0.3">
      <c r="A4" s="39" t="s">
        <v>59</v>
      </c>
      <c r="B4" s="40" t="s">
        <v>146</v>
      </c>
      <c r="C4" s="40" t="s">
        <v>167</v>
      </c>
      <c r="D4" s="40" t="s">
        <v>140</v>
      </c>
    </row>
    <row r="5" spans="1:4" ht="15" customHeight="1" x14ac:dyDescent="0.3">
      <c r="A5" s="6" t="s">
        <v>43</v>
      </c>
      <c r="B5" s="7">
        <v>2</v>
      </c>
      <c r="C5" s="50" t="s">
        <v>168</v>
      </c>
      <c r="D5" s="50" t="s">
        <v>169</v>
      </c>
    </row>
    <row r="6" spans="1:4" ht="15" customHeight="1" x14ac:dyDescent="0.3">
      <c r="A6" s="6" t="s">
        <v>170</v>
      </c>
      <c r="B6" s="7">
        <v>365</v>
      </c>
      <c r="C6" s="50" t="s">
        <v>171</v>
      </c>
      <c r="D6" s="50" t="s">
        <v>169</v>
      </c>
    </row>
    <row r="7" spans="1:4" ht="15" customHeight="1" x14ac:dyDescent="0.3">
      <c r="A7" s="6" t="s">
        <v>172</v>
      </c>
      <c r="B7" s="51">
        <f>Scope_of_Work!B5</f>
        <v>7</v>
      </c>
      <c r="C7" s="50" t="s">
        <v>173</v>
      </c>
      <c r="D7" s="50" t="s">
        <v>174</v>
      </c>
    </row>
    <row r="8" spans="1:4" ht="15" customHeight="1" x14ac:dyDescent="0.3">
      <c r="A8" s="6" t="s">
        <v>133</v>
      </c>
      <c r="B8" s="51">
        <f>Scope_of_Work!B6</f>
        <v>52</v>
      </c>
      <c r="C8" s="50" t="s">
        <v>175</v>
      </c>
      <c r="D8" s="50" t="s">
        <v>174</v>
      </c>
    </row>
    <row r="9" spans="1:4" ht="15" customHeight="1" x14ac:dyDescent="0.3">
      <c r="A9" s="6" t="s">
        <v>176</v>
      </c>
      <c r="B9" s="7">
        <v>22</v>
      </c>
      <c r="C9" s="50" t="s">
        <v>177</v>
      </c>
      <c r="D9" s="50" t="s">
        <v>169</v>
      </c>
    </row>
    <row r="10" spans="1:4" ht="15" customHeight="1" x14ac:dyDescent="0.3">
      <c r="A10" s="6" t="s">
        <v>45</v>
      </c>
      <c r="B10" s="5">
        <v>4</v>
      </c>
      <c r="C10" s="50" t="s">
        <v>178</v>
      </c>
      <c r="D10" s="50" t="s">
        <v>169</v>
      </c>
    </row>
    <row r="11" spans="1:4" ht="15" customHeight="1" x14ac:dyDescent="0.3">
      <c r="A11" s="6" t="s">
        <v>179</v>
      </c>
      <c r="B11" s="5">
        <v>0.18</v>
      </c>
      <c r="C11" s="50" t="s">
        <v>180</v>
      </c>
      <c r="D11" s="50" t="s">
        <v>169</v>
      </c>
    </row>
    <row r="12" spans="1:4" ht="15" customHeight="1" x14ac:dyDescent="0.3">
      <c r="A12" s="6" t="s">
        <v>181</v>
      </c>
      <c r="B12" s="5">
        <v>850</v>
      </c>
      <c r="C12" s="50" t="s">
        <v>182</v>
      </c>
      <c r="D12" s="50" t="s">
        <v>169</v>
      </c>
    </row>
    <row r="13" spans="1:4" ht="15" customHeight="1" x14ac:dyDescent="0.3">
      <c r="A13" s="6" t="s">
        <v>183</v>
      </c>
      <c r="B13" s="5">
        <v>225</v>
      </c>
      <c r="C13" s="50" t="s">
        <v>182</v>
      </c>
      <c r="D13" s="50" t="s">
        <v>169</v>
      </c>
    </row>
    <row r="14" spans="1:4" ht="15" customHeight="1" x14ac:dyDescent="0.3">
      <c r="A14" s="6" t="s">
        <v>184</v>
      </c>
      <c r="B14" s="7">
        <v>1</v>
      </c>
      <c r="C14" s="50" t="s">
        <v>182</v>
      </c>
      <c r="D14" s="50" t="s">
        <v>169</v>
      </c>
    </row>
    <row r="15" spans="1:4" ht="15" customHeight="1" x14ac:dyDescent="0.3">
      <c r="A15" s="6" t="s">
        <v>185</v>
      </c>
      <c r="B15" s="5">
        <v>250</v>
      </c>
      <c r="C15" s="50" t="s">
        <v>186</v>
      </c>
      <c r="D15" s="50" t="s">
        <v>169</v>
      </c>
    </row>
    <row r="16" spans="1:4" ht="15" customHeight="1" x14ac:dyDescent="0.3">
      <c r="A16" s="52"/>
      <c r="B16" s="52"/>
      <c r="C16" s="52"/>
      <c r="D16" s="52"/>
    </row>
    <row r="17" spans="1:4" ht="15" customHeight="1" x14ac:dyDescent="0.3">
      <c r="A17" s="52"/>
      <c r="B17" s="52"/>
      <c r="C17" s="52"/>
      <c r="D17" s="52"/>
    </row>
    <row r="18" spans="1:4" ht="19.5" customHeight="1" x14ac:dyDescent="0.3">
      <c r="A18" s="175" t="s">
        <v>187</v>
      </c>
      <c r="B18" s="172"/>
      <c r="C18" s="172"/>
      <c r="D18" s="172"/>
    </row>
    <row r="19" spans="1:4" ht="18.75" customHeight="1" x14ac:dyDescent="0.3">
      <c r="A19" s="39" t="s">
        <v>188</v>
      </c>
      <c r="B19" s="40" t="s">
        <v>189</v>
      </c>
      <c r="C19" s="40" t="s">
        <v>190</v>
      </c>
      <c r="D19" s="40" t="s">
        <v>167</v>
      </c>
    </row>
    <row r="20" spans="1:4" ht="15" customHeight="1" x14ac:dyDescent="0.3">
      <c r="A20" s="6" t="s">
        <v>191</v>
      </c>
      <c r="B20" s="36">
        <f>B5*B6</f>
        <v>730</v>
      </c>
      <c r="C20" s="53">
        <f t="shared" ref="C20:C31" si="0">B20</f>
        <v>730</v>
      </c>
      <c r="D20" s="50" t="s">
        <v>171</v>
      </c>
    </row>
    <row r="21" spans="1:4" ht="15" customHeight="1" x14ac:dyDescent="0.3">
      <c r="A21" s="6" t="s">
        <v>192</v>
      </c>
      <c r="B21" s="36">
        <f>C20*B7*B8</f>
        <v>265720</v>
      </c>
      <c r="C21" s="53">
        <f t="shared" si="0"/>
        <v>265720</v>
      </c>
      <c r="D21" s="50" t="s">
        <v>193</v>
      </c>
    </row>
    <row r="22" spans="1:4" ht="15" customHeight="1" x14ac:dyDescent="0.3">
      <c r="A22" s="6" t="s">
        <v>194</v>
      </c>
      <c r="B22" s="36">
        <f>IFERROR(C21/B9,0)</f>
        <v>12078.181818181818</v>
      </c>
      <c r="C22" s="53">
        <f t="shared" si="0"/>
        <v>12078.181818181818</v>
      </c>
      <c r="D22" s="50" t="s">
        <v>195</v>
      </c>
    </row>
    <row r="23" spans="1:4" ht="15" customHeight="1" x14ac:dyDescent="0.3">
      <c r="A23" s="6" t="s">
        <v>196</v>
      </c>
      <c r="B23" s="42">
        <f>C22*B10</f>
        <v>48312.727272727272</v>
      </c>
      <c r="C23" s="54">
        <f t="shared" si="0"/>
        <v>48312.727272727272</v>
      </c>
      <c r="D23" s="50" t="s">
        <v>186</v>
      </c>
    </row>
    <row r="24" spans="1:4" ht="15" customHeight="1" x14ac:dyDescent="0.3">
      <c r="A24" s="6" t="s">
        <v>197</v>
      </c>
      <c r="B24" s="42">
        <f>C21*B11</f>
        <v>47829.599999999999</v>
      </c>
      <c r="C24" s="54">
        <f t="shared" si="0"/>
        <v>47829.599999999999</v>
      </c>
      <c r="D24" s="50" t="s">
        <v>186</v>
      </c>
    </row>
    <row r="25" spans="1:4" ht="15" customHeight="1" x14ac:dyDescent="0.3">
      <c r="A25" s="6" t="s">
        <v>198</v>
      </c>
      <c r="B25" s="42">
        <f>B5*B12*12</f>
        <v>20400</v>
      </c>
      <c r="C25" s="54">
        <f t="shared" si="0"/>
        <v>20400</v>
      </c>
      <c r="D25" s="50" t="s">
        <v>186</v>
      </c>
    </row>
    <row r="26" spans="1:4" ht="15" customHeight="1" x14ac:dyDescent="0.3">
      <c r="A26" s="6" t="s">
        <v>199</v>
      </c>
      <c r="B26" s="42">
        <f>B5*B13*12</f>
        <v>5400</v>
      </c>
      <c r="C26" s="54">
        <f t="shared" si="0"/>
        <v>5400</v>
      </c>
      <c r="D26" s="50" t="s">
        <v>186</v>
      </c>
    </row>
    <row r="27" spans="1:4" ht="15" customHeight="1" x14ac:dyDescent="0.3">
      <c r="A27" s="6" t="s">
        <v>200</v>
      </c>
      <c r="B27" s="42">
        <f>B5*B14*12</f>
        <v>24</v>
      </c>
      <c r="C27" s="54">
        <f t="shared" si="0"/>
        <v>24</v>
      </c>
      <c r="D27" s="50" t="s">
        <v>186</v>
      </c>
    </row>
    <row r="28" spans="1:4" ht="15" customHeight="1" x14ac:dyDescent="0.3">
      <c r="A28" s="6" t="s">
        <v>201</v>
      </c>
      <c r="B28" s="55">
        <f>B5*B15</f>
        <v>500</v>
      </c>
      <c r="C28" s="54">
        <f t="shared" si="0"/>
        <v>500</v>
      </c>
      <c r="D28" s="50" t="s">
        <v>186</v>
      </c>
    </row>
    <row r="29" spans="1:4" ht="15" customHeight="1" x14ac:dyDescent="0.3">
      <c r="A29" s="45" t="s">
        <v>46</v>
      </c>
      <c r="B29" s="47">
        <f>SUM(C23:C28)</f>
        <v>122466.32727272727</v>
      </c>
      <c r="C29" s="56">
        <f t="shared" si="0"/>
        <v>122466.32727272727</v>
      </c>
      <c r="D29" s="57" t="s">
        <v>186</v>
      </c>
    </row>
    <row r="30" spans="1:4" ht="15" customHeight="1" x14ac:dyDescent="0.3">
      <c r="A30" s="6" t="s">
        <v>202</v>
      </c>
      <c r="B30" s="15">
        <f>IFERROR(C29/Scope_of_Work!B14,0)</f>
        <v>2.4430722804166787</v>
      </c>
      <c r="C30" s="58">
        <f t="shared" si="0"/>
        <v>2.4430722804166787</v>
      </c>
      <c r="D30" s="50" t="s">
        <v>203</v>
      </c>
    </row>
    <row r="31" spans="1:4" ht="21.75" customHeight="1" x14ac:dyDescent="0.3">
      <c r="A31" s="6" t="s">
        <v>204</v>
      </c>
      <c r="B31" s="15">
        <f>IFERROR(C29/Scope_of_Work!B14,0)</f>
        <v>2.4430722804166787</v>
      </c>
      <c r="C31" s="58">
        <f t="shared" si="0"/>
        <v>2.4430722804166787</v>
      </c>
      <c r="D31" s="50" t="s">
        <v>205</v>
      </c>
    </row>
    <row r="32" spans="1:4" ht="15" customHeight="1" x14ac:dyDescent="0.3">
      <c r="A32" s="52"/>
      <c r="B32" s="52"/>
      <c r="C32" s="52"/>
      <c r="D32" s="52"/>
    </row>
    <row r="33" spans="1:4" ht="15" customHeight="1" x14ac:dyDescent="0.3">
      <c r="A33" s="52"/>
      <c r="B33" s="52"/>
      <c r="C33" s="52"/>
      <c r="D33" s="52"/>
    </row>
    <row r="34" spans="1:4" ht="24.6" customHeight="1" x14ac:dyDescent="0.3">
      <c r="A34" s="175" t="s">
        <v>206</v>
      </c>
      <c r="B34" s="172"/>
      <c r="C34" s="172"/>
      <c r="D34" s="172"/>
    </row>
  </sheetData>
  <mergeCells count="5">
    <mergeCell ref="A1:D1"/>
    <mergeCell ref="A18:D18"/>
    <mergeCell ref="A34:D34"/>
    <mergeCell ref="A3:D3"/>
    <mergeCell ref="A2:D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FBAD0"/>
  </sheetPr>
  <dimension ref="A1:J47"/>
  <sheetViews>
    <sheetView workbookViewId="0">
      <selection activeCell="F14" sqref="F14"/>
    </sheetView>
  </sheetViews>
  <sheetFormatPr defaultColWidth="8.6640625" defaultRowHeight="14.4" x14ac:dyDescent="0.3"/>
  <cols>
    <col min="1" max="1" width="38.5546875" style="1" customWidth="1"/>
    <col min="2" max="2" width="18" style="1" customWidth="1"/>
    <col min="3" max="3" width="14" style="1" customWidth="1"/>
    <col min="4" max="4" width="16" style="1" customWidth="1"/>
    <col min="5" max="5" width="22.77734375" style="1" customWidth="1"/>
    <col min="6" max="6" width="14" style="1" customWidth="1"/>
    <col min="7" max="9" width="18" style="1" customWidth="1"/>
    <col min="10" max="10" width="13" style="1" customWidth="1"/>
  </cols>
  <sheetData>
    <row r="1" spans="1:5" ht="27.75" customHeight="1" x14ac:dyDescent="0.3">
      <c r="A1" s="173" t="s">
        <v>207</v>
      </c>
      <c r="B1" s="172"/>
      <c r="C1" s="172"/>
      <c r="D1" s="172"/>
      <c r="E1" s="172"/>
    </row>
    <row r="2" spans="1:5" ht="21.75" customHeight="1" x14ac:dyDescent="0.3">
      <c r="A2" s="171" t="s">
        <v>1</v>
      </c>
      <c r="B2" s="172"/>
      <c r="C2" s="172"/>
      <c r="D2" s="172"/>
      <c r="E2" s="172"/>
    </row>
    <row r="3" spans="1:5" ht="19.5" customHeight="1" x14ac:dyDescent="0.3">
      <c r="A3" s="2" t="s">
        <v>208</v>
      </c>
      <c r="B3" s="3"/>
      <c r="C3" s="3"/>
      <c r="D3" s="3"/>
      <c r="E3" s="3"/>
    </row>
    <row r="4" spans="1:5" ht="18.75" customHeight="1" x14ac:dyDescent="0.3">
      <c r="A4" s="39" t="s">
        <v>209</v>
      </c>
      <c r="B4" s="40" t="s">
        <v>210</v>
      </c>
      <c r="C4" s="40" t="s">
        <v>167</v>
      </c>
      <c r="D4" s="40" t="s">
        <v>211</v>
      </c>
      <c r="E4" s="59" t="s">
        <v>140</v>
      </c>
    </row>
    <row r="5" spans="1:5" ht="15" customHeight="1" x14ac:dyDescent="0.3">
      <c r="A5" s="6" t="s">
        <v>128</v>
      </c>
      <c r="B5" s="51">
        <f>ROUNDUP(Scope_of_Work!B15,0)</f>
        <v>35</v>
      </c>
      <c r="C5" s="50" t="s">
        <v>212</v>
      </c>
      <c r="D5" s="60"/>
      <c r="E5" s="61" t="s">
        <v>213</v>
      </c>
    </row>
    <row r="6" spans="1:5" ht="15" customHeight="1" x14ac:dyDescent="0.3">
      <c r="A6" s="6" t="s">
        <v>126</v>
      </c>
      <c r="B6" s="51">
        <f>Scope_of_Work!B14</f>
        <v>50128</v>
      </c>
      <c r="C6" s="50" t="s">
        <v>214</v>
      </c>
      <c r="D6" s="60"/>
      <c r="E6" s="61" t="s">
        <v>213</v>
      </c>
    </row>
    <row r="7" spans="1:5" ht="15" customHeight="1" x14ac:dyDescent="0.3">
      <c r="A7" s="6" t="s">
        <v>215</v>
      </c>
      <c r="B7" s="7">
        <v>3</v>
      </c>
      <c r="C7" s="50" t="s">
        <v>216</v>
      </c>
      <c r="D7" s="60"/>
      <c r="E7" s="61" t="s">
        <v>217</v>
      </c>
    </row>
    <row r="8" spans="1:5" ht="15" customHeight="1" x14ac:dyDescent="0.3">
      <c r="A8" s="6" t="s">
        <v>218</v>
      </c>
      <c r="B8" s="5">
        <v>225</v>
      </c>
      <c r="C8" s="50" t="s">
        <v>219</v>
      </c>
      <c r="D8" s="60"/>
      <c r="E8" s="61" t="s">
        <v>217</v>
      </c>
    </row>
    <row r="9" spans="1:5" ht="15" customHeight="1" x14ac:dyDescent="0.3">
      <c r="A9" s="6" t="s">
        <v>220</v>
      </c>
      <c r="B9" s="7">
        <v>12</v>
      </c>
      <c r="C9" s="50" t="s">
        <v>221</v>
      </c>
      <c r="D9" s="60"/>
      <c r="E9" s="61" t="s">
        <v>222</v>
      </c>
    </row>
    <row r="10" spans="1:5" ht="15" customHeight="1" x14ac:dyDescent="0.3">
      <c r="A10" s="6" t="s">
        <v>223</v>
      </c>
      <c r="B10" s="168">
        <v>350</v>
      </c>
      <c r="C10" s="50" t="s">
        <v>224</v>
      </c>
      <c r="D10" s="60"/>
      <c r="E10" s="61" t="s">
        <v>225</v>
      </c>
    </row>
    <row r="11" spans="1:5" ht="15" customHeight="1" x14ac:dyDescent="0.3">
      <c r="A11" s="6" t="s">
        <v>226</v>
      </c>
      <c r="B11" s="7">
        <v>24</v>
      </c>
      <c r="C11" s="50" t="s">
        <v>221</v>
      </c>
      <c r="D11" s="60"/>
      <c r="E11" s="61" t="s">
        <v>227</v>
      </c>
    </row>
    <row r="12" spans="1:5" ht="15" customHeight="1" x14ac:dyDescent="0.3">
      <c r="A12" s="6" t="s">
        <v>228</v>
      </c>
      <c r="B12" s="169">
        <v>275</v>
      </c>
      <c r="C12" s="50" t="s">
        <v>224</v>
      </c>
      <c r="D12" s="60"/>
      <c r="E12" s="61" t="s">
        <v>229</v>
      </c>
    </row>
    <row r="13" spans="1:5" ht="15" customHeight="1" x14ac:dyDescent="0.3">
      <c r="A13" s="6" t="s">
        <v>230</v>
      </c>
      <c r="B13" s="7">
        <v>36</v>
      </c>
      <c r="C13" s="50" t="s">
        <v>221</v>
      </c>
      <c r="D13" s="60"/>
      <c r="E13" s="61" t="s">
        <v>227</v>
      </c>
    </row>
    <row r="14" spans="1:5" ht="15" customHeight="1" x14ac:dyDescent="0.3">
      <c r="A14" s="6" t="s">
        <v>231</v>
      </c>
      <c r="B14" s="170">
        <v>45</v>
      </c>
      <c r="C14" s="50" t="s">
        <v>224</v>
      </c>
      <c r="D14" s="60"/>
      <c r="E14" s="61" t="s">
        <v>232</v>
      </c>
    </row>
    <row r="15" spans="1:5" ht="15" customHeight="1" x14ac:dyDescent="0.3">
      <c r="A15" s="6" t="s">
        <v>233</v>
      </c>
      <c r="B15" s="7">
        <v>12</v>
      </c>
      <c r="C15" s="50" t="s">
        <v>221</v>
      </c>
      <c r="D15" s="60"/>
      <c r="E15" s="61" t="s">
        <v>227</v>
      </c>
    </row>
    <row r="16" spans="1:5" ht="15" customHeight="1" x14ac:dyDescent="0.3">
      <c r="A16" s="6" t="s">
        <v>234</v>
      </c>
      <c r="B16" s="168">
        <v>85</v>
      </c>
      <c r="C16" s="50" t="s">
        <v>235</v>
      </c>
      <c r="D16" s="60"/>
      <c r="E16" s="61" t="s">
        <v>236</v>
      </c>
    </row>
    <row r="17" spans="1:5" ht="15" customHeight="1" x14ac:dyDescent="0.3">
      <c r="A17" s="6" t="s">
        <v>237</v>
      </c>
      <c r="B17" s="8">
        <v>0.1</v>
      </c>
      <c r="C17" s="50" t="s">
        <v>238</v>
      </c>
      <c r="D17" s="60"/>
      <c r="E17" s="61" t="s">
        <v>239</v>
      </c>
    </row>
    <row r="18" spans="1:5" ht="15" customHeight="1" x14ac:dyDescent="0.3">
      <c r="A18" s="62" t="s">
        <v>240</v>
      </c>
      <c r="B18" s="8">
        <v>0.05</v>
      </c>
      <c r="C18" s="50" t="s">
        <v>238</v>
      </c>
      <c r="D18" s="46"/>
      <c r="E18" s="61" t="s">
        <v>241</v>
      </c>
    </row>
    <row r="19" spans="1:5" ht="15" customHeight="1" x14ac:dyDescent="0.3">
      <c r="A19" s="63"/>
      <c r="B19" s="63"/>
      <c r="C19" s="63"/>
      <c r="D19" s="63"/>
    </row>
    <row r="20" spans="1:5" ht="15" customHeight="1" x14ac:dyDescent="0.3">
      <c r="A20" s="64"/>
      <c r="B20" s="65"/>
      <c r="C20" s="65"/>
      <c r="D20" s="52"/>
    </row>
    <row r="21" spans="1:5" ht="19.5" customHeight="1" x14ac:dyDescent="0.3">
      <c r="A21" s="2" t="s">
        <v>242</v>
      </c>
      <c r="B21" s="66"/>
      <c r="C21" s="66"/>
      <c r="D21" s="3"/>
      <c r="E21" s="3"/>
    </row>
    <row r="22" spans="1:5" ht="18.75" customHeight="1" x14ac:dyDescent="0.3">
      <c r="A22" s="39" t="s">
        <v>188</v>
      </c>
      <c r="B22" s="67" t="s">
        <v>189</v>
      </c>
      <c r="C22" s="67" t="s">
        <v>190</v>
      </c>
      <c r="D22" s="40" t="s">
        <v>167</v>
      </c>
      <c r="E22" s="59" t="s">
        <v>243</v>
      </c>
    </row>
    <row r="23" spans="1:5" ht="15" customHeight="1" x14ac:dyDescent="0.3">
      <c r="A23" s="6" t="s">
        <v>244</v>
      </c>
      <c r="B23" s="42">
        <f>B5*B7*B8</f>
        <v>23625</v>
      </c>
      <c r="C23" s="42">
        <f t="shared" ref="C23:C36" si="0">B23</f>
        <v>23625</v>
      </c>
      <c r="D23" s="50" t="s">
        <v>245</v>
      </c>
      <c r="E23" s="61" t="s">
        <v>246</v>
      </c>
    </row>
    <row r="24" spans="1:5" ht="15" customHeight="1" x14ac:dyDescent="0.3">
      <c r="A24" s="6" t="s">
        <v>247</v>
      </c>
      <c r="B24" s="42">
        <f>IFERROR(C23*(12/B9),0)</f>
        <v>23625</v>
      </c>
      <c r="C24" s="42">
        <f t="shared" si="0"/>
        <v>23625</v>
      </c>
      <c r="D24" s="50" t="s">
        <v>248</v>
      </c>
      <c r="E24" s="61" t="s">
        <v>249</v>
      </c>
    </row>
    <row r="25" spans="1:5" ht="15" customHeight="1" x14ac:dyDescent="0.3">
      <c r="A25" s="6" t="s">
        <v>250</v>
      </c>
      <c r="B25" s="42">
        <f>B5*B10</f>
        <v>12250</v>
      </c>
      <c r="C25" s="42">
        <f t="shared" si="0"/>
        <v>12250</v>
      </c>
      <c r="D25" s="50" t="s">
        <v>245</v>
      </c>
      <c r="E25" s="61" t="s">
        <v>251</v>
      </c>
    </row>
    <row r="26" spans="1:5" ht="15" customHeight="1" x14ac:dyDescent="0.3">
      <c r="A26" s="6" t="s">
        <v>252</v>
      </c>
      <c r="B26" s="42">
        <f>IFERROR(C25*(12/B11),0)</f>
        <v>6125</v>
      </c>
      <c r="C26" s="42">
        <f t="shared" si="0"/>
        <v>6125</v>
      </c>
      <c r="D26" s="50" t="s">
        <v>248</v>
      </c>
      <c r="E26" s="61" t="s">
        <v>249</v>
      </c>
    </row>
    <row r="27" spans="1:5" ht="15" customHeight="1" x14ac:dyDescent="0.3">
      <c r="A27" s="6" t="s">
        <v>253</v>
      </c>
      <c r="B27" s="42">
        <f>B5*B12</f>
        <v>9625</v>
      </c>
      <c r="C27" s="42">
        <f t="shared" si="0"/>
        <v>9625</v>
      </c>
      <c r="D27" s="50" t="s">
        <v>245</v>
      </c>
      <c r="E27" s="61" t="s">
        <v>254</v>
      </c>
    </row>
    <row r="28" spans="1:5" ht="15" customHeight="1" x14ac:dyDescent="0.3">
      <c r="A28" s="6" t="s">
        <v>255</v>
      </c>
      <c r="B28" s="42">
        <f>IFERROR(C27*(12/B13),0)</f>
        <v>3208.333333333333</v>
      </c>
      <c r="C28" s="42">
        <f t="shared" si="0"/>
        <v>3208.333333333333</v>
      </c>
      <c r="D28" s="50" t="s">
        <v>248</v>
      </c>
      <c r="E28" s="61" t="s">
        <v>249</v>
      </c>
    </row>
    <row r="29" spans="1:5" ht="15" customHeight="1" x14ac:dyDescent="0.3">
      <c r="A29" s="6" t="s">
        <v>256</v>
      </c>
      <c r="B29" s="42">
        <f>B5*B14</f>
        <v>1575</v>
      </c>
      <c r="C29" s="42">
        <f t="shared" si="0"/>
        <v>1575</v>
      </c>
      <c r="D29" s="50" t="s">
        <v>245</v>
      </c>
      <c r="E29" s="61" t="s">
        <v>257</v>
      </c>
    </row>
    <row r="30" spans="1:5" ht="15" customHeight="1" x14ac:dyDescent="0.3">
      <c r="A30" s="6" t="s">
        <v>258</v>
      </c>
      <c r="B30" s="42">
        <f>IFERROR(C29*(12/B15),0)</f>
        <v>1575</v>
      </c>
      <c r="C30" s="42">
        <f t="shared" si="0"/>
        <v>1575</v>
      </c>
      <c r="D30" s="50" t="s">
        <v>248</v>
      </c>
      <c r="E30" s="61" t="s">
        <v>249</v>
      </c>
    </row>
    <row r="31" spans="1:5" ht="15" customHeight="1" x14ac:dyDescent="0.3">
      <c r="A31" s="6" t="s">
        <v>259</v>
      </c>
      <c r="B31" s="42">
        <f>B5*B16</f>
        <v>2975</v>
      </c>
      <c r="C31" s="42">
        <f t="shared" si="0"/>
        <v>2975</v>
      </c>
      <c r="D31" s="50" t="s">
        <v>248</v>
      </c>
      <c r="E31" s="61" t="s">
        <v>260</v>
      </c>
    </row>
    <row r="32" spans="1:5" ht="30.75" customHeight="1" x14ac:dyDescent="0.3">
      <c r="A32" s="45" t="s">
        <v>261</v>
      </c>
      <c r="B32" s="47">
        <f>SUM(C24,C26,C28,C30,C31)</f>
        <v>37508.333333333336</v>
      </c>
      <c r="C32" s="47">
        <f t="shared" si="0"/>
        <v>37508.333333333336</v>
      </c>
      <c r="D32" s="57" t="s">
        <v>248</v>
      </c>
      <c r="E32" s="68" t="s">
        <v>262</v>
      </c>
    </row>
    <row r="33" spans="1:5" ht="15" customHeight="1" x14ac:dyDescent="0.3">
      <c r="A33" s="6" t="s">
        <v>263</v>
      </c>
      <c r="B33" s="42">
        <f>C32*B17</f>
        <v>3750.8333333333339</v>
      </c>
      <c r="C33" s="42">
        <f t="shared" si="0"/>
        <v>3750.8333333333339</v>
      </c>
      <c r="D33" s="50" t="s">
        <v>248</v>
      </c>
      <c r="E33" s="61" t="s">
        <v>264</v>
      </c>
    </row>
    <row r="34" spans="1:5" ht="15" customHeight="1" x14ac:dyDescent="0.3">
      <c r="A34" s="6" t="s">
        <v>265</v>
      </c>
      <c r="B34" s="42">
        <f>SUM(C32:C33)*B18</f>
        <v>2062.9583333333335</v>
      </c>
      <c r="C34" s="42">
        <f t="shared" si="0"/>
        <v>2062.9583333333335</v>
      </c>
      <c r="D34" s="50" t="s">
        <v>248</v>
      </c>
      <c r="E34" s="61" t="s">
        <v>266</v>
      </c>
    </row>
    <row r="35" spans="1:5" ht="18" customHeight="1" x14ac:dyDescent="0.3">
      <c r="A35" s="45" t="s">
        <v>267</v>
      </c>
      <c r="B35" s="47">
        <f>SUM(C32:C34)</f>
        <v>43322.125000000007</v>
      </c>
      <c r="C35" s="47">
        <f t="shared" si="0"/>
        <v>43322.125000000007</v>
      </c>
      <c r="D35" s="57" t="s">
        <v>248</v>
      </c>
      <c r="E35" s="68" t="s">
        <v>268</v>
      </c>
    </row>
    <row r="36" spans="1:5" ht="14.25" customHeight="1" x14ac:dyDescent="0.3">
      <c r="A36" s="6" t="s">
        <v>269</v>
      </c>
      <c r="B36" s="42">
        <f>IFERROR(C35/B6,0)</f>
        <v>0.8642300710181936</v>
      </c>
      <c r="C36" s="42">
        <f t="shared" si="0"/>
        <v>0.8642300710181936</v>
      </c>
      <c r="D36" s="50" t="s">
        <v>270</v>
      </c>
      <c r="E36" s="61" t="s">
        <v>271</v>
      </c>
    </row>
    <row r="39" spans="1:5" ht="19.5" hidden="1" customHeight="1" x14ac:dyDescent="0.3">
      <c r="A39" s="2" t="s">
        <v>272</v>
      </c>
      <c r="B39" s="3"/>
      <c r="C39" s="3"/>
      <c r="D39" s="3"/>
      <c r="E39" s="3"/>
    </row>
    <row r="40" spans="1:5" ht="18.75" hidden="1" customHeight="1" x14ac:dyDescent="0.3">
      <c r="A40" s="69" t="s">
        <v>273</v>
      </c>
      <c r="B40" s="70" t="s">
        <v>189</v>
      </c>
      <c r="C40" s="70" t="s">
        <v>190</v>
      </c>
      <c r="D40" s="70" t="s">
        <v>274</v>
      </c>
      <c r="E40" s="41"/>
    </row>
    <row r="41" spans="1:5" ht="14.25" hidden="1" customHeight="1" x14ac:dyDescent="0.3">
      <c r="A41" s="11" t="s">
        <v>275</v>
      </c>
      <c r="B41" s="71" t="str">
        <f>IF(B5&gt;0,"OK","CHECK")</f>
        <v>OK</v>
      </c>
      <c r="C41" s="72" t="str">
        <f>B41</f>
        <v>OK</v>
      </c>
      <c r="D41" s="73" t="s">
        <v>276</v>
      </c>
    </row>
    <row r="42" spans="1:5" ht="14.25" hidden="1" customHeight="1" x14ac:dyDescent="0.3">
      <c r="A42" s="11" t="s">
        <v>277</v>
      </c>
      <c r="B42" s="71" t="str">
        <f>IF(B6&gt;0,"OK","CHECK")</f>
        <v>OK</v>
      </c>
      <c r="C42" s="72" t="str">
        <f>B42</f>
        <v>OK</v>
      </c>
      <c r="D42" s="73" t="s">
        <v>276</v>
      </c>
    </row>
    <row r="43" spans="1:5" ht="14.25" hidden="1" customHeight="1" x14ac:dyDescent="0.3">
      <c r="A43" s="11" t="s">
        <v>278</v>
      </c>
      <c r="B43" s="74" t="str">
        <f>IF(C36&gt;=0,"OK","CHECK")</f>
        <v>OK</v>
      </c>
      <c r="C43" s="75" t="str">
        <f>B43</f>
        <v>OK</v>
      </c>
      <c r="D43" s="73" t="s">
        <v>279</v>
      </c>
    </row>
    <row r="46" spans="1:5" ht="19.5" customHeight="1" x14ac:dyDescent="0.3">
      <c r="A46" s="175" t="s">
        <v>280</v>
      </c>
      <c r="B46" s="172"/>
      <c r="C46" s="172"/>
      <c r="D46" s="172"/>
      <c r="E46" s="172"/>
    </row>
    <row r="47" spans="1:5" ht="14.25" customHeight="1" x14ac:dyDescent="0.3">
      <c r="A47" s="172"/>
      <c r="B47" s="172"/>
      <c r="C47" s="172"/>
      <c r="D47" s="172"/>
      <c r="E47" s="172"/>
    </row>
  </sheetData>
  <mergeCells count="3">
    <mergeCell ref="A2:E2"/>
    <mergeCell ref="A46:E47"/>
    <mergeCell ref="A1:E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FBAD0"/>
  </sheetPr>
  <dimension ref="A1:J14"/>
  <sheetViews>
    <sheetView workbookViewId="0">
      <selection sqref="A1:E1"/>
    </sheetView>
  </sheetViews>
  <sheetFormatPr defaultColWidth="8.6640625" defaultRowHeight="14.4" x14ac:dyDescent="0.3"/>
  <cols>
    <col min="1" max="1" width="34" style="1" customWidth="1"/>
    <col min="2" max="2" width="18" style="1" customWidth="1"/>
    <col min="3" max="3" width="14" style="1" customWidth="1"/>
    <col min="4" max="4" width="16" style="1" customWidth="1"/>
    <col min="5" max="5" width="37.21875" style="1" customWidth="1"/>
    <col min="6" max="6" width="14" style="1" customWidth="1"/>
    <col min="7" max="9" width="18" style="1" customWidth="1"/>
    <col min="10" max="10" width="13" style="1" customWidth="1"/>
  </cols>
  <sheetData>
    <row r="1" spans="1:5" ht="27.75" customHeight="1" x14ac:dyDescent="0.3">
      <c r="A1" s="173" t="s">
        <v>281</v>
      </c>
      <c r="B1" s="172"/>
      <c r="C1" s="172"/>
      <c r="D1" s="172"/>
      <c r="E1" s="172"/>
    </row>
    <row r="2" spans="1:5" ht="21.75" customHeight="1" x14ac:dyDescent="0.3">
      <c r="A2" s="171" t="s">
        <v>1</v>
      </c>
      <c r="B2" s="172"/>
      <c r="C2" s="172"/>
      <c r="D2" s="172"/>
      <c r="E2" s="172"/>
    </row>
    <row r="3" spans="1:5" ht="18.75" customHeight="1" x14ac:dyDescent="0.3">
      <c r="A3" s="39" t="s">
        <v>59</v>
      </c>
      <c r="B3" s="40" t="s">
        <v>146</v>
      </c>
      <c r="C3" s="40" t="s">
        <v>147</v>
      </c>
      <c r="D3" s="40" t="s">
        <v>148</v>
      </c>
      <c r="E3" s="41"/>
    </row>
    <row r="4" spans="1:5" ht="19.5" customHeight="1" x14ac:dyDescent="0.3">
      <c r="A4" s="6" t="s">
        <v>282</v>
      </c>
      <c r="B4" s="43">
        <f>Direct_Labor!$C$8*Inputs!B22</f>
        <v>0.36717</v>
      </c>
      <c r="C4" s="42">
        <f t="shared" ref="C4:C13" si="0">B4</f>
        <v>0.36717</v>
      </c>
      <c r="D4" s="15">
        <f>C4*Scope_of_Work!$B$14</f>
        <v>18405.497759999998</v>
      </c>
    </row>
    <row r="5" spans="1:5" ht="19.5" customHeight="1" x14ac:dyDescent="0.3">
      <c r="A5" s="6" t="s">
        <v>283</v>
      </c>
      <c r="B5" s="43">
        <f>Direct_Labor!$C$8*Inputs!B23</f>
        <v>0.36717</v>
      </c>
      <c r="C5" s="42">
        <f t="shared" si="0"/>
        <v>0.36717</v>
      </c>
      <c r="D5" s="15">
        <f>C5*Scope_of_Work!$B$14</f>
        <v>18405.497759999998</v>
      </c>
    </row>
    <row r="6" spans="1:5" ht="19.5" customHeight="1" x14ac:dyDescent="0.3">
      <c r="A6" s="6" t="s">
        <v>284</v>
      </c>
      <c r="B6" s="15">
        <f>Uniform_Equipment!$C$36</f>
        <v>0.8642300710181936</v>
      </c>
      <c r="C6" s="42">
        <f t="shared" si="0"/>
        <v>0.8642300710181936</v>
      </c>
      <c r="D6" s="15">
        <f>Uniform_Equipment!$C$35</f>
        <v>43322.125000000007</v>
      </c>
    </row>
    <row r="7" spans="1:5" ht="19.5" customHeight="1" x14ac:dyDescent="0.3">
      <c r="A7" s="6" t="s">
        <v>285</v>
      </c>
      <c r="B7" s="43">
        <f>Direct_Labor!$C$8*Inputs!B25</f>
        <v>1.46868</v>
      </c>
      <c r="C7" s="42">
        <f t="shared" si="0"/>
        <v>1.46868</v>
      </c>
      <c r="D7" s="15">
        <f>C7*Scope_of_Work!$B$14</f>
        <v>73621.991039999994</v>
      </c>
    </row>
    <row r="8" spans="1:5" ht="19.5" customHeight="1" x14ac:dyDescent="0.3">
      <c r="A8" s="6" t="s">
        <v>286</v>
      </c>
      <c r="B8" s="43">
        <f>Direct_Labor!$C$8*Inputs!B26</f>
        <v>0.73433999999999999</v>
      </c>
      <c r="C8" s="42">
        <f t="shared" si="0"/>
        <v>0.73433999999999999</v>
      </c>
      <c r="D8" s="15">
        <f>C8*Scope_of_Work!$B$14</f>
        <v>36810.995519999997</v>
      </c>
    </row>
    <row r="9" spans="1:5" ht="19.5" customHeight="1" x14ac:dyDescent="0.3">
      <c r="A9" s="6" t="s">
        <v>287</v>
      </c>
      <c r="B9" s="43">
        <f>Direct_Labor!$C$8*Inputs!B27</f>
        <v>0.36717</v>
      </c>
      <c r="C9" s="42">
        <f t="shared" si="0"/>
        <v>0.36717</v>
      </c>
      <c r="D9" s="15">
        <f>C9*Scope_of_Work!$B$14</f>
        <v>18405.497759999998</v>
      </c>
    </row>
    <row r="10" spans="1:5" ht="19.5" customHeight="1" x14ac:dyDescent="0.3">
      <c r="A10" s="6" t="s">
        <v>288</v>
      </c>
      <c r="B10" s="14">
        <f>Vehicle!$C$30</f>
        <v>2.4430722804166787</v>
      </c>
      <c r="C10" s="48">
        <f t="shared" si="0"/>
        <v>2.4430722804166787</v>
      </c>
      <c r="D10" s="76">
        <f>Vehicle!$C$29</f>
        <v>122466.32727272727</v>
      </c>
    </row>
    <row r="11" spans="1:5" ht="19.5" customHeight="1" x14ac:dyDescent="0.3">
      <c r="A11" s="6" t="s">
        <v>289</v>
      </c>
      <c r="B11" s="43">
        <f>Direct_Labor!$C$8*Inputs!B29</f>
        <v>0.24478000000000003</v>
      </c>
      <c r="C11" s="42">
        <f t="shared" si="0"/>
        <v>0.24478000000000003</v>
      </c>
      <c r="D11" s="15">
        <f>C11*Scope_of_Work!$B$14</f>
        <v>12270.331840000001</v>
      </c>
    </row>
    <row r="12" spans="1:5" ht="19.5" customHeight="1" x14ac:dyDescent="0.3">
      <c r="A12" s="6" t="s">
        <v>290</v>
      </c>
      <c r="B12" s="43">
        <f>Direct_Labor!$C$8*Inputs!B30</f>
        <v>0.36717</v>
      </c>
      <c r="C12" s="42">
        <f t="shared" si="0"/>
        <v>0.36717</v>
      </c>
      <c r="D12" s="15">
        <f>C12*Scope_of_Work!$B$14</f>
        <v>18405.497759999998</v>
      </c>
    </row>
    <row r="13" spans="1:5" ht="19.5" customHeight="1" x14ac:dyDescent="0.3">
      <c r="A13" s="6" t="s">
        <v>291</v>
      </c>
      <c r="B13" s="43">
        <f>Direct_Labor!$C$8*Inputs!B31</f>
        <v>0.183585</v>
      </c>
      <c r="C13" s="42">
        <f t="shared" si="0"/>
        <v>0.183585</v>
      </c>
      <c r="D13" s="15">
        <f>C13*Scope_of_Work!$B$14</f>
        <v>9202.7488799999992</v>
      </c>
    </row>
    <row r="14" spans="1:5" ht="19.5" customHeight="1" x14ac:dyDescent="0.3">
      <c r="A14" s="45" t="s">
        <v>292</v>
      </c>
      <c r="B14" s="46"/>
      <c r="C14" s="47">
        <f>SUM(C4:C13)</f>
        <v>7.4073673514348721</v>
      </c>
      <c r="D14" s="47">
        <f>SUM(D4:D13)</f>
        <v>371316.51059272722</v>
      </c>
    </row>
  </sheetData>
  <mergeCells count="2">
    <mergeCell ref="A2:E2"/>
    <mergeCell ref="A1:E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8"/>
  </sheetPr>
  <dimension ref="A1:J40"/>
  <sheetViews>
    <sheetView workbookViewId="0">
      <selection activeCell="H4" sqref="H4"/>
    </sheetView>
  </sheetViews>
  <sheetFormatPr defaultColWidth="8.6640625" defaultRowHeight="14.4" x14ac:dyDescent="0.3"/>
  <cols>
    <col min="1" max="1" width="70.21875" style="1" customWidth="1"/>
    <col min="2" max="2" width="18" style="1" customWidth="1"/>
    <col min="3" max="3" width="14" style="1" customWidth="1"/>
    <col min="4" max="4" width="16" style="1" customWidth="1"/>
    <col min="5" max="5" width="24" style="1" customWidth="1"/>
    <col min="6" max="6" width="14" style="1" customWidth="1"/>
    <col min="7" max="9" width="18" style="1" customWidth="1"/>
    <col min="10" max="10" width="13" style="1" customWidth="1"/>
  </cols>
  <sheetData>
    <row r="1" spans="1:5" ht="27.75" customHeight="1" x14ac:dyDescent="0.3">
      <c r="A1" s="173" t="s">
        <v>693</v>
      </c>
      <c r="B1" s="172"/>
      <c r="C1" s="172"/>
      <c r="D1" s="172"/>
      <c r="E1" s="172"/>
    </row>
    <row r="2" spans="1:5" ht="21.75" customHeight="1" x14ac:dyDescent="0.3">
      <c r="A2" s="171" t="s">
        <v>293</v>
      </c>
      <c r="B2" s="172"/>
      <c r="C2" s="172"/>
      <c r="D2" s="172"/>
      <c r="E2" s="172"/>
    </row>
    <row r="3" spans="1:5" ht="19.5" customHeight="1" x14ac:dyDescent="0.3">
      <c r="A3" s="175" t="s">
        <v>294</v>
      </c>
      <c r="B3" s="172"/>
      <c r="C3" s="172"/>
      <c r="D3" s="172"/>
      <c r="E3" s="3"/>
    </row>
    <row r="4" spans="1:5" ht="19.5" customHeight="1" x14ac:dyDescent="0.3">
      <c r="A4" s="77" t="s">
        <v>295</v>
      </c>
      <c r="B4" s="78">
        <f>IF(IFERROR(Post_Positions!$U$5,0)&gt;0,Post_Positions!$U$14,Inputs!$B$4)</f>
        <v>20</v>
      </c>
    </row>
    <row r="5" spans="1:5" ht="19.5" customHeight="1" x14ac:dyDescent="0.3">
      <c r="A5" s="68" t="s">
        <v>296</v>
      </c>
      <c r="B5" s="79">
        <f>IFERROR(B4/Inputs!B42,0)</f>
        <v>28.571428571428573</v>
      </c>
    </row>
    <row r="6" spans="1:5" ht="19.5" hidden="1" customHeight="1" x14ac:dyDescent="0.3">
      <c r="A6" s="6" t="s">
        <v>297</v>
      </c>
      <c r="B6" s="14">
        <f>Inputs!B43</f>
        <v>3744</v>
      </c>
    </row>
    <row r="7" spans="1:5" ht="19.5" hidden="1" customHeight="1" x14ac:dyDescent="0.3">
      <c r="A7" s="68" t="s">
        <v>298</v>
      </c>
      <c r="B7" s="78">
        <f>B5*B6</f>
        <v>106971.42857142858</v>
      </c>
    </row>
    <row r="8" spans="1:5" ht="19.5" customHeight="1" x14ac:dyDescent="0.3">
      <c r="A8" s="77" t="s">
        <v>299</v>
      </c>
      <c r="B8" s="56">
        <f>IFERROR(B7/Inputs!$B$5,0)</f>
        <v>73.469387755102048</v>
      </c>
    </row>
    <row r="9" spans="1:5" ht="19.5" customHeight="1" x14ac:dyDescent="0.3">
      <c r="A9" s="68" t="s">
        <v>300</v>
      </c>
      <c r="B9" s="80">
        <f>B8*Inputs!B39</f>
        <v>51.428571428571431</v>
      </c>
    </row>
    <row r="10" spans="1:5" ht="19.5" customHeight="1" x14ac:dyDescent="0.3">
      <c r="A10" s="68" t="s">
        <v>301</v>
      </c>
      <c r="B10" s="56">
        <f>B8-B9</f>
        <v>22.040816326530617</v>
      </c>
    </row>
    <row r="11" spans="1:5" ht="19.5" customHeight="1" x14ac:dyDescent="0.3">
      <c r="A11" s="68" t="s">
        <v>302</v>
      </c>
      <c r="B11" s="81">
        <f>IF(IFERROR(Post_Positions!$U$5,0)&gt;0,Post_Positions!$U$13,Scope_of_Work!B14)</f>
        <v>50128</v>
      </c>
    </row>
    <row r="12" spans="1:5" ht="19.5" customHeight="1" x14ac:dyDescent="0.3">
      <c r="A12" s="77" t="s">
        <v>303</v>
      </c>
      <c r="B12" s="56">
        <f>B8*B11</f>
        <v>3682873.4693877553</v>
      </c>
    </row>
    <row r="13" spans="1:5" ht="19.5" customHeight="1" x14ac:dyDescent="0.3">
      <c r="A13" s="82" t="s">
        <v>304</v>
      </c>
      <c r="B13" s="83">
        <f>B9*B11</f>
        <v>2578011.4285714286</v>
      </c>
    </row>
    <row r="14" spans="1:5" ht="19.5" customHeight="1" x14ac:dyDescent="0.3">
      <c r="A14" s="175" t="s">
        <v>305</v>
      </c>
      <c r="B14" s="172"/>
      <c r="C14" s="172"/>
      <c r="D14" s="172"/>
      <c r="E14" s="3"/>
    </row>
    <row r="15" spans="1:5" ht="19.5" customHeight="1" x14ac:dyDescent="0.3">
      <c r="A15" s="84" t="s">
        <v>306</v>
      </c>
      <c r="B15" s="85">
        <f>B10*B11</f>
        <v>1104862.0408163269</v>
      </c>
    </row>
    <row r="16" spans="1:5" ht="19.5" hidden="1" customHeight="1" x14ac:dyDescent="0.3">
      <c r="A16" s="68" t="s">
        <v>307</v>
      </c>
      <c r="B16" s="86">
        <f>IFERROR(B8/B4,0)</f>
        <v>3.6734693877551026</v>
      </c>
    </row>
    <row r="17" spans="1:5" ht="19.5" hidden="1" customHeight="1" x14ac:dyDescent="0.3">
      <c r="A17" s="68" t="s">
        <v>308</v>
      </c>
      <c r="B17" s="78">
        <f>IFERROR(B9/B4,0)</f>
        <v>2.5714285714285716</v>
      </c>
    </row>
    <row r="18" spans="1:5" ht="19.5" hidden="1" customHeight="1" x14ac:dyDescent="0.3">
      <c r="A18" s="6" t="s">
        <v>37</v>
      </c>
      <c r="B18" s="87">
        <f>Inputs!B42</f>
        <v>0.7</v>
      </c>
    </row>
    <row r="19" spans="1:5" ht="19.5" hidden="1" customHeight="1" x14ac:dyDescent="0.3">
      <c r="A19" s="6" t="s">
        <v>38</v>
      </c>
      <c r="B19" s="14">
        <f>Inputs!B43</f>
        <v>3744</v>
      </c>
    </row>
    <row r="20" spans="1:5" ht="19.5" hidden="1" customHeight="1" x14ac:dyDescent="0.3">
      <c r="A20" s="11" t="s">
        <v>40</v>
      </c>
      <c r="B20" s="11" t="s">
        <v>309</v>
      </c>
    </row>
    <row r="21" spans="1:5" ht="18" customHeight="1" x14ac:dyDescent="0.3"/>
    <row r="22" spans="1:5" ht="19.5" customHeight="1" x14ac:dyDescent="0.3">
      <c r="A22" s="2" t="s">
        <v>310</v>
      </c>
      <c r="B22" s="3"/>
      <c r="C22" s="3"/>
      <c r="D22" s="3"/>
      <c r="E22" s="3"/>
    </row>
    <row r="23" spans="1:5" ht="18.75" customHeight="1" x14ac:dyDescent="0.3">
      <c r="A23" s="39" t="s">
        <v>59</v>
      </c>
      <c r="B23" s="40" t="s">
        <v>311</v>
      </c>
      <c r="C23" s="40" t="s">
        <v>312</v>
      </c>
      <c r="D23" s="40" t="s">
        <v>313</v>
      </c>
      <c r="E23" s="59" t="s">
        <v>314</v>
      </c>
    </row>
    <row r="24" spans="1:5" ht="15" customHeight="1" x14ac:dyDescent="0.3">
      <c r="A24" s="6" t="s">
        <v>156</v>
      </c>
      <c r="B24" s="87">
        <f>Inputs!B12</f>
        <v>7.6499999999999999E-2</v>
      </c>
      <c r="C24" s="88">
        <f t="shared" ref="C24:C35" si="0">IFERROR(B24/$B$36,0)</f>
        <v>0.12338709677419354</v>
      </c>
      <c r="D24" s="42">
        <f t="shared" ref="D24:D35" si="1">$D$37*C24</f>
        <v>1.0576036866359448</v>
      </c>
      <c r="E24" s="89">
        <f t="shared" ref="E24:E35" si="2">D24*$B$11</f>
        <v>53015.557603686641</v>
      </c>
    </row>
    <row r="25" spans="1:5" ht="15" customHeight="1" x14ac:dyDescent="0.3">
      <c r="A25" s="6" t="s">
        <v>157</v>
      </c>
      <c r="B25" s="87">
        <f>Inputs!B13</f>
        <v>6.0000000000000001E-3</v>
      </c>
      <c r="C25" s="88">
        <f t="shared" si="0"/>
        <v>9.6774193548387101E-3</v>
      </c>
      <c r="D25" s="42">
        <f t="shared" si="1"/>
        <v>8.2949308755760384E-2</v>
      </c>
      <c r="E25" s="89">
        <f t="shared" si="2"/>
        <v>4158.0829493087567</v>
      </c>
    </row>
    <row r="26" spans="1:5" ht="15" customHeight="1" x14ac:dyDescent="0.3">
      <c r="A26" s="6" t="s">
        <v>158</v>
      </c>
      <c r="B26" s="87">
        <f>Inputs!B14</f>
        <v>1.4999999999999999E-2</v>
      </c>
      <c r="C26" s="88">
        <f t="shared" si="0"/>
        <v>2.4193548387096774E-2</v>
      </c>
      <c r="D26" s="42">
        <f t="shared" si="1"/>
        <v>0.20737327188940094</v>
      </c>
      <c r="E26" s="89">
        <f t="shared" si="2"/>
        <v>10395.207373271891</v>
      </c>
    </row>
    <row r="27" spans="1:5" ht="15" customHeight="1" x14ac:dyDescent="0.3">
      <c r="A27" s="6" t="s">
        <v>159</v>
      </c>
      <c r="B27" s="87">
        <f>Inputs!B15</f>
        <v>0.05</v>
      </c>
      <c r="C27" s="88">
        <f t="shared" si="0"/>
        <v>8.0645161290322592E-2</v>
      </c>
      <c r="D27" s="42">
        <f t="shared" si="1"/>
        <v>0.69124423963133663</v>
      </c>
      <c r="E27" s="89">
        <f t="shared" si="2"/>
        <v>34650.691244239642</v>
      </c>
    </row>
    <row r="28" spans="1:5" ht="15" customHeight="1" x14ac:dyDescent="0.3">
      <c r="A28" s="6" t="s">
        <v>315</v>
      </c>
      <c r="B28" s="87">
        <f>IFERROR(Inputs!B16/$B$4,0)</f>
        <v>0.27749999999999997</v>
      </c>
      <c r="C28" s="88">
        <f t="shared" si="0"/>
        <v>0.44758064516129026</v>
      </c>
      <c r="D28" s="42">
        <f t="shared" si="1"/>
        <v>3.8364055299539173</v>
      </c>
      <c r="E28" s="89">
        <f t="shared" si="2"/>
        <v>192311.33640552996</v>
      </c>
    </row>
    <row r="29" spans="1:5" ht="15" customHeight="1" x14ac:dyDescent="0.3">
      <c r="A29" s="6" t="s">
        <v>161</v>
      </c>
      <c r="B29" s="87">
        <f>Inputs!B17</f>
        <v>2.5000000000000001E-2</v>
      </c>
      <c r="C29" s="88">
        <f t="shared" si="0"/>
        <v>4.0322580645161296E-2</v>
      </c>
      <c r="D29" s="42">
        <f t="shared" si="1"/>
        <v>0.34562211981566832</v>
      </c>
      <c r="E29" s="89">
        <f t="shared" si="2"/>
        <v>17325.345622119821</v>
      </c>
    </row>
    <row r="30" spans="1:5" ht="15" customHeight="1" x14ac:dyDescent="0.3">
      <c r="A30" s="6" t="s">
        <v>162</v>
      </c>
      <c r="B30" s="14">
        <f>Inputs!B18</f>
        <v>7.4999999999999997E-2</v>
      </c>
      <c r="C30" s="36">
        <f t="shared" si="0"/>
        <v>0.12096774193548386</v>
      </c>
      <c r="D30" s="36">
        <f t="shared" si="1"/>
        <v>1.0368663594470047</v>
      </c>
      <c r="E30" s="90">
        <f t="shared" si="2"/>
        <v>51976.036866359449</v>
      </c>
    </row>
    <row r="31" spans="1:5" ht="15" customHeight="1" x14ac:dyDescent="0.3">
      <c r="A31" s="6" t="s">
        <v>163</v>
      </c>
      <c r="B31" s="87">
        <f>Inputs!B19</f>
        <v>1.2500000000000001E-2</v>
      </c>
      <c r="C31" s="88">
        <f t="shared" si="0"/>
        <v>2.0161290322580648E-2</v>
      </c>
      <c r="D31" s="42">
        <f t="shared" si="1"/>
        <v>0.17281105990783416</v>
      </c>
      <c r="E31" s="89">
        <f t="shared" si="2"/>
        <v>8662.6728110599106</v>
      </c>
    </row>
    <row r="32" spans="1:5" ht="15" customHeight="1" x14ac:dyDescent="0.3">
      <c r="A32" s="6" t="s">
        <v>282</v>
      </c>
      <c r="B32" s="87">
        <f>Inputs!B22</f>
        <v>1.4999999999999999E-2</v>
      </c>
      <c r="C32" s="88">
        <f t="shared" si="0"/>
        <v>2.4193548387096774E-2</v>
      </c>
      <c r="D32" s="42">
        <f t="shared" si="1"/>
        <v>0.20737327188940094</v>
      </c>
      <c r="E32" s="89">
        <f t="shared" si="2"/>
        <v>10395.207373271891</v>
      </c>
    </row>
    <row r="33" spans="1:5" ht="15" customHeight="1" x14ac:dyDescent="0.3">
      <c r="A33" s="6" t="s">
        <v>283</v>
      </c>
      <c r="B33" s="87">
        <f>Inputs!B23</f>
        <v>1.4999999999999999E-2</v>
      </c>
      <c r="C33" s="88">
        <f t="shared" si="0"/>
        <v>2.4193548387096774E-2</v>
      </c>
      <c r="D33" s="42">
        <f t="shared" si="1"/>
        <v>0.20737327188940094</v>
      </c>
      <c r="E33" s="89">
        <f t="shared" si="2"/>
        <v>10395.207373271891</v>
      </c>
    </row>
    <row r="34" spans="1:5" ht="15" customHeight="1" x14ac:dyDescent="0.3">
      <c r="A34" s="6" t="s">
        <v>316</v>
      </c>
      <c r="B34" s="87">
        <f>Inputs!B34</f>
        <v>0.03</v>
      </c>
      <c r="C34" s="88">
        <f t="shared" si="0"/>
        <v>4.8387096774193547E-2</v>
      </c>
      <c r="D34" s="42">
        <f t="shared" si="1"/>
        <v>0.41474654377880188</v>
      </c>
      <c r="E34" s="89">
        <f t="shared" si="2"/>
        <v>20790.414746543782</v>
      </c>
    </row>
    <row r="35" spans="1:5" ht="15" customHeight="1" x14ac:dyDescent="0.3">
      <c r="A35" s="6" t="s">
        <v>317</v>
      </c>
      <c r="B35" s="87">
        <f>Inputs!B30+Inputs!B31</f>
        <v>2.2499999999999999E-2</v>
      </c>
      <c r="C35" s="88">
        <f t="shared" si="0"/>
        <v>3.6290322580645157E-2</v>
      </c>
      <c r="D35" s="42">
        <f t="shared" si="1"/>
        <v>0.31105990783410142</v>
      </c>
      <c r="E35" s="89">
        <f t="shared" si="2"/>
        <v>15592.811059907835</v>
      </c>
    </row>
    <row r="36" spans="1:5" ht="15" customHeight="1" x14ac:dyDescent="0.3">
      <c r="A36" s="91" t="s">
        <v>318</v>
      </c>
      <c r="B36" s="92">
        <f>SUM(B24:B35)</f>
        <v>0.62</v>
      </c>
      <c r="C36" s="93"/>
      <c r="D36" s="94"/>
      <c r="E36" s="94"/>
    </row>
    <row r="37" spans="1:5" ht="15" customHeight="1" x14ac:dyDescent="0.3">
      <c r="A37" s="77" t="s">
        <v>319</v>
      </c>
      <c r="B37" s="95"/>
      <c r="C37" s="96"/>
      <c r="D37" s="47">
        <f>B5-B4</f>
        <v>8.571428571428573</v>
      </c>
      <c r="E37" s="97">
        <f>D37*$B$11</f>
        <v>429668.57142857148</v>
      </c>
    </row>
    <row r="38" spans="1:5" ht="15" customHeight="1" x14ac:dyDescent="0.3">
      <c r="A38" s="68" t="s">
        <v>320</v>
      </c>
      <c r="B38" s="95"/>
      <c r="C38" s="96"/>
      <c r="D38" s="42">
        <f>SUM(D24:D35)</f>
        <v>8.571428571428573</v>
      </c>
      <c r="E38" s="98">
        <f>SUM(E24:E35)</f>
        <v>429668.57142857148</v>
      </c>
    </row>
    <row r="39" spans="1:5" ht="15" customHeight="1" x14ac:dyDescent="0.3">
      <c r="A39" s="68" t="s">
        <v>321</v>
      </c>
      <c r="B39" s="95"/>
      <c r="C39" s="96"/>
      <c r="D39" s="42">
        <f>D37-D38</f>
        <v>0</v>
      </c>
      <c r="E39" s="98">
        <f>E37-E38</f>
        <v>0</v>
      </c>
    </row>
    <row r="40" spans="1:5" ht="15" customHeight="1" x14ac:dyDescent="0.3">
      <c r="A40" s="11" t="s">
        <v>322</v>
      </c>
      <c r="B40" s="11" t="s">
        <v>323</v>
      </c>
    </row>
  </sheetData>
  <mergeCells count="4">
    <mergeCell ref="A2:E2"/>
    <mergeCell ref="A1:E1"/>
    <mergeCell ref="A3:D3"/>
    <mergeCell ref="A14:D1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FBAD0"/>
  </sheetPr>
  <dimension ref="A1:J9"/>
  <sheetViews>
    <sheetView workbookViewId="0">
      <selection sqref="A1:E1"/>
    </sheetView>
  </sheetViews>
  <sheetFormatPr defaultColWidth="8.6640625" defaultRowHeight="14.4" x14ac:dyDescent="0.3"/>
  <cols>
    <col min="1" max="1" width="34" style="1" customWidth="1"/>
    <col min="2" max="2" width="18" style="1" customWidth="1"/>
    <col min="3" max="3" width="14" style="1" customWidth="1"/>
    <col min="4" max="4" width="16" style="1" customWidth="1"/>
    <col min="5" max="5" width="35.21875" style="1" customWidth="1"/>
    <col min="6" max="6" width="14" style="1" customWidth="1"/>
    <col min="7" max="9" width="18" style="1" customWidth="1"/>
    <col min="10" max="10" width="13" style="1" customWidth="1"/>
  </cols>
  <sheetData>
    <row r="1" spans="1:5" ht="27.75" customHeight="1" x14ac:dyDescent="0.3">
      <c r="A1" s="173" t="s">
        <v>344</v>
      </c>
      <c r="B1" s="172"/>
      <c r="C1" s="172"/>
      <c r="D1" s="172"/>
      <c r="E1" s="172"/>
    </row>
    <row r="2" spans="1:5" ht="21.75" customHeight="1" x14ac:dyDescent="0.3">
      <c r="A2" s="171" t="s">
        <v>1</v>
      </c>
      <c r="B2" s="172"/>
      <c r="C2" s="172"/>
      <c r="D2" s="172"/>
      <c r="E2" s="172"/>
    </row>
    <row r="3" spans="1:5" ht="18.75" customHeight="1" x14ac:dyDescent="0.3">
      <c r="A3" s="39" t="s">
        <v>59</v>
      </c>
      <c r="B3" s="40" t="s">
        <v>146</v>
      </c>
      <c r="C3" s="40" t="s">
        <v>147</v>
      </c>
      <c r="D3" s="40" t="s">
        <v>148</v>
      </c>
      <c r="E3" s="41"/>
    </row>
    <row r="4" spans="1:5" ht="19.5" customHeight="1" x14ac:dyDescent="0.3">
      <c r="A4" s="6" t="s">
        <v>316</v>
      </c>
      <c r="B4" s="43">
        <f>Direct_Labor!$C$8*Inputs!B34</f>
        <v>0.73433999999999999</v>
      </c>
      <c r="C4" s="42">
        <f>B4</f>
        <v>0.73433999999999999</v>
      </c>
      <c r="D4" s="15">
        <f>C4*Scope_of_Work!$B$14</f>
        <v>36810.995519999997</v>
      </c>
    </row>
    <row r="5" spans="1:5" ht="19.5" customHeight="1" x14ac:dyDescent="0.3">
      <c r="A5" s="6" t="s">
        <v>345</v>
      </c>
      <c r="B5" s="43">
        <f>Direct_Labor!$C$8*Inputs!B35</f>
        <v>0.48956000000000005</v>
      </c>
      <c r="C5" s="42">
        <f>B5</f>
        <v>0.48956000000000005</v>
      </c>
      <c r="D5" s="15">
        <f>C5*Scope_of_Work!$B$14</f>
        <v>24540.663680000001</v>
      </c>
    </row>
    <row r="6" spans="1:5" ht="19.5" customHeight="1" x14ac:dyDescent="0.3">
      <c r="A6" s="6" t="s">
        <v>346</v>
      </c>
      <c r="B6" s="15">
        <f>Direct_Labor!$C$8*Inputs!B36</f>
        <v>2.93736</v>
      </c>
      <c r="C6" s="42">
        <f>B6</f>
        <v>2.93736</v>
      </c>
      <c r="D6" s="15">
        <f>C6*Scope_of_Work!$B$14</f>
        <v>147243.98207999999</v>
      </c>
    </row>
    <row r="7" spans="1:5" ht="19.5" customHeight="1" x14ac:dyDescent="0.3">
      <c r="A7" s="6" t="s">
        <v>347</v>
      </c>
      <c r="B7" s="43">
        <f>Direct_Labor!$C$8*Inputs!B37</f>
        <v>1.46868</v>
      </c>
      <c r="C7" s="42">
        <f>B7</f>
        <v>1.46868</v>
      </c>
      <c r="D7" s="15">
        <f>C7*Scope_of_Work!$B$14</f>
        <v>73621.991039999994</v>
      </c>
    </row>
    <row r="8" spans="1:5" ht="19.5" customHeight="1" x14ac:dyDescent="0.3">
      <c r="A8" s="6" t="s">
        <v>348</v>
      </c>
      <c r="B8" s="43">
        <f>Direct_Labor!$C$8*Inputs!B38</f>
        <v>1.9582400000000002</v>
      </c>
      <c r="C8" s="42">
        <f>B8</f>
        <v>1.9582400000000002</v>
      </c>
      <c r="D8" s="15">
        <f>C8*Scope_of_Work!$B$14</f>
        <v>98162.654720000006</v>
      </c>
    </row>
    <row r="9" spans="1:5" ht="19.5" customHeight="1" x14ac:dyDescent="0.3">
      <c r="A9" s="45" t="s">
        <v>349</v>
      </c>
      <c r="B9" s="46"/>
      <c r="C9" s="47">
        <f>SUM(C4:C8)</f>
        <v>7.5881800000000004</v>
      </c>
      <c r="D9" s="47">
        <f>SUM(D4:D8)</f>
        <v>380380.28703999997</v>
      </c>
    </row>
  </sheetData>
  <mergeCells count="2">
    <mergeCell ref="A2:E2"/>
    <mergeCell ref="A1:E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8"/>
  </sheetPr>
  <dimension ref="A1:J19"/>
  <sheetViews>
    <sheetView workbookViewId="0">
      <selection activeCell="D26" sqref="D26"/>
    </sheetView>
  </sheetViews>
  <sheetFormatPr defaultColWidth="8.6640625" defaultRowHeight="14.4" x14ac:dyDescent="0.3"/>
  <cols>
    <col min="1" max="1" width="51.5546875" style="1" customWidth="1"/>
    <col min="2" max="2" width="14" style="1" customWidth="1"/>
    <col min="3" max="3" width="18" style="1" customWidth="1"/>
    <col min="4" max="4" width="14" style="1" customWidth="1"/>
    <col min="5" max="5" width="24" style="1" customWidth="1"/>
    <col min="6" max="6" width="32" style="1" customWidth="1"/>
    <col min="7" max="9" width="18" style="1" customWidth="1"/>
    <col min="10" max="10" width="13" style="1" customWidth="1"/>
  </cols>
  <sheetData>
    <row r="1" spans="1:6" ht="27.75" customHeight="1" x14ac:dyDescent="0.3">
      <c r="A1" s="173" t="s">
        <v>324</v>
      </c>
      <c r="B1" s="172"/>
      <c r="C1" s="172"/>
      <c r="D1" s="172"/>
      <c r="E1" s="172"/>
      <c r="F1" s="172"/>
    </row>
    <row r="2" spans="1:6" ht="21.75" customHeight="1" x14ac:dyDescent="0.3">
      <c r="A2" s="171" t="s">
        <v>325</v>
      </c>
      <c r="B2" s="172"/>
      <c r="C2" s="172"/>
      <c r="D2" s="172"/>
      <c r="E2" s="172"/>
      <c r="F2" s="172"/>
    </row>
    <row r="3" spans="1:6" ht="19.5" customHeight="1" x14ac:dyDescent="0.3">
      <c r="A3" s="175" t="s">
        <v>326</v>
      </c>
      <c r="B3" s="172"/>
      <c r="C3" s="172"/>
      <c r="D3" s="172"/>
      <c r="E3" s="3"/>
      <c r="F3" s="3"/>
    </row>
    <row r="4" spans="1:6" ht="19.5" customHeight="1" x14ac:dyDescent="0.3">
      <c r="A4" s="45" t="s">
        <v>299</v>
      </c>
      <c r="B4" s="47">
        <f>Government_TCO!B8</f>
        <v>73.469387755102048</v>
      </c>
    </row>
    <row r="5" spans="1:6" ht="19.5" customHeight="1" x14ac:dyDescent="0.3">
      <c r="A5" s="45" t="s">
        <v>327</v>
      </c>
      <c r="B5" s="99">
        <f>B4*Inputs!B39</f>
        <v>51.428571428571431</v>
      </c>
    </row>
    <row r="6" spans="1:6" ht="19.5" customHeight="1" x14ac:dyDescent="0.3">
      <c r="A6" s="6" t="s">
        <v>328</v>
      </c>
      <c r="B6" s="100">
        <f>B5*Inputs!B40</f>
        <v>36</v>
      </c>
    </row>
    <row r="7" spans="1:6" ht="19.5" customHeight="1" x14ac:dyDescent="0.3">
      <c r="A7" s="45" t="s">
        <v>329</v>
      </c>
      <c r="B7" s="47">
        <f>B6+((B5-B6)/2)</f>
        <v>43.714285714285715</v>
      </c>
    </row>
    <row r="8" spans="1:6" ht="19.5" customHeight="1" x14ac:dyDescent="0.3">
      <c r="A8" s="45" t="s">
        <v>330</v>
      </c>
      <c r="B8" s="47">
        <f>B5</f>
        <v>51.428571428571431</v>
      </c>
    </row>
    <row r="9" spans="1:6" ht="19.5" customHeight="1" x14ac:dyDescent="0.3">
      <c r="A9" s="6" t="s">
        <v>301</v>
      </c>
      <c r="B9" s="42">
        <f>B4-B5</f>
        <v>22.040816326530617</v>
      </c>
    </row>
    <row r="10" spans="1:6" ht="19.5" customHeight="1" x14ac:dyDescent="0.3">
      <c r="A10" s="45" t="s">
        <v>306</v>
      </c>
      <c r="B10" s="47">
        <f>B9*Scope_of_Work!B14</f>
        <v>1104862.0408163269</v>
      </c>
    </row>
    <row r="11" spans="1:6" ht="19.5" customHeight="1" x14ac:dyDescent="0.3">
      <c r="A11" s="6" t="s">
        <v>36</v>
      </c>
      <c r="B11" s="14">
        <f>Inputs!B41</f>
        <v>1500</v>
      </c>
    </row>
    <row r="12" spans="1:6" ht="19.5" customHeight="1" x14ac:dyDescent="0.3">
      <c r="A12" s="6" t="s">
        <v>331</v>
      </c>
      <c r="B12" s="101">
        <f>IF(IFERROR(Post_Positions!$U$5,0)&gt;0,Post_Positions!$U$15,"")</f>
        <v>51.428571428571423</v>
      </c>
      <c r="D12" s="102" t="s">
        <v>122</v>
      </c>
      <c r="E12" s="6" t="str">
        <f>IF(Post_Positions!$U$5&gt;0,"Linked","Manual")</f>
        <v>Linked</v>
      </c>
    </row>
    <row r="13" spans="1:6" ht="19.5" customHeight="1" x14ac:dyDescent="0.3">
      <c r="A13" s="175" t="s">
        <v>332</v>
      </c>
      <c r="B13" s="172"/>
      <c r="C13" s="172"/>
      <c r="D13" s="172"/>
      <c r="E13" s="172"/>
      <c r="F13" s="172"/>
    </row>
    <row r="14" spans="1:6" ht="18.75" customHeight="1" x14ac:dyDescent="0.3">
      <c r="A14" s="39" t="s">
        <v>333</v>
      </c>
      <c r="B14" s="103" t="s">
        <v>334</v>
      </c>
      <c r="C14" s="103" t="s">
        <v>335</v>
      </c>
      <c r="D14" s="102" t="s">
        <v>336</v>
      </c>
      <c r="E14" s="59" t="s">
        <v>337</v>
      </c>
      <c r="F14" s="59" t="s">
        <v>338</v>
      </c>
    </row>
    <row r="15" spans="1:6" ht="19.5" customHeight="1" x14ac:dyDescent="0.3">
      <c r="A15" s="6" t="s">
        <v>339</v>
      </c>
      <c r="B15" s="5">
        <v>35</v>
      </c>
      <c r="C15" s="7">
        <v>1500</v>
      </c>
      <c r="D15" s="104" t="str">
        <f>IF(C15="","",IF(C15&gt;=B11,"Yes","No"))</f>
        <v>Yes</v>
      </c>
      <c r="E15" s="6" t="str">
        <f>IF(B15="","",IF(B15&lt;B6,"Below Floor",IF(B15&lt;B7,"Between Floor and Target",IF(B15&lt;=B8,"Between Target and Ceiling","Above Ceiling"))))</f>
        <v>Below Floor</v>
      </c>
      <c r="F15" s="6" t="str">
        <f>IF(B15="","",IF(B15&lt;B6,"Unrealistic / high performance risk",IF(B15&lt;B7,"Aggressive pricing",IF(B15&lt;=B8,"Competitive and reasonable","Potentially overpriced"))))</f>
        <v>Unrealistic / high performance risk</v>
      </c>
    </row>
    <row r="16" spans="1:6" ht="19.5" customHeight="1" x14ac:dyDescent="0.3">
      <c r="A16" s="6" t="s">
        <v>340</v>
      </c>
      <c r="B16" s="5">
        <v>37</v>
      </c>
      <c r="C16" s="7">
        <v>900</v>
      </c>
      <c r="D16" s="104" t="str">
        <f>IF(C16="","",IF(C16&gt;=B11,"Yes","No"))</f>
        <v>No</v>
      </c>
      <c r="E16" s="6" t="str">
        <f>IF(B16="","",IF(B16&lt;B6,"Below Floor",IF(B16&lt;B7,"Between Floor and Target",IF(B16&lt;=B8,"Between Target and Ceiling","Above Ceiling"))))</f>
        <v>Between Floor and Target</v>
      </c>
      <c r="F16" s="6" t="str">
        <f>IF(B16="","",IF(B16&lt;B6,"Unrealistic / high performance risk",IF(B16&lt;B7,"Aggressive pricing",IF(B16&lt;=B8,"Competitive and reasonable","Potentially overpriced"))))</f>
        <v>Aggressive pricing</v>
      </c>
    </row>
    <row r="17" spans="1:6" ht="19.5" customHeight="1" x14ac:dyDescent="0.3">
      <c r="A17" s="6" t="s">
        <v>341</v>
      </c>
      <c r="B17" s="5">
        <v>41</v>
      </c>
      <c r="C17" s="7">
        <v>2000</v>
      </c>
      <c r="D17" s="104" t="str">
        <f>IF(C17="","",IF(C17&gt;=B11,"Yes","No"))</f>
        <v>Yes</v>
      </c>
      <c r="E17" s="6" t="str">
        <f>IF(B17="","",IF(B17&lt;B6,"Below Floor",IF(B17&lt;B7,"Between Floor and Target",IF(B17&lt;=B8,"Between Target and Ceiling","Above Ceiling"))))</f>
        <v>Between Floor and Target</v>
      </c>
      <c r="F17" s="6" t="str">
        <f>IF(B17="","",IF(B17&lt;B6,"Unrealistic / high performance risk",IF(B17&lt;B7,"Aggressive pricing",IF(B17&lt;=B8,"Competitive and reasonable","Potentially overpriced"))))</f>
        <v>Aggressive pricing</v>
      </c>
    </row>
    <row r="18" spans="1:6" ht="19.5" customHeight="1" x14ac:dyDescent="0.3">
      <c r="A18" s="6" t="s">
        <v>342</v>
      </c>
      <c r="B18" s="5">
        <v>42</v>
      </c>
      <c r="C18" s="7">
        <v>800</v>
      </c>
      <c r="D18" s="104" t="str">
        <f>IF(C18="","",IF(C18&gt;=B11,"Yes","No"))</f>
        <v>No</v>
      </c>
      <c r="E18" s="6" t="str">
        <f>IF(B18="","",IF(B18&lt;B6,"Below Floor",IF(B18&lt;B7,"Between Floor and Target",IF(B18&lt;=B8,"Between Target and Ceiling","Above Ceiling"))))</f>
        <v>Between Floor and Target</v>
      </c>
      <c r="F18" s="6" t="str">
        <f>IF(B18="","",IF(B18&lt;B6,"Unrealistic / high performance risk",IF(B18&lt;B7,"Aggressive pricing",IF(B18&lt;=B8,"Competitive and reasonable","Potentially overpriced"))))</f>
        <v>Aggressive pricing</v>
      </c>
    </row>
    <row r="19" spans="1:6" ht="19.5" customHeight="1" x14ac:dyDescent="0.3">
      <c r="A19" s="6" t="s">
        <v>343</v>
      </c>
      <c r="B19" s="5">
        <v>50</v>
      </c>
      <c r="C19" s="7">
        <v>1600</v>
      </c>
      <c r="D19" s="104" t="str">
        <f>IF(C19="","",IF(C19&gt;=B11,"Yes","No"))</f>
        <v>Yes</v>
      </c>
      <c r="E19" s="6" t="str">
        <f>IF(B19="","",IF(B19&lt;B6,"Below Floor",IF(B19&lt;B7,"Between Floor and Target",IF(B19&lt;=B8,"Between Target and Ceiling","Above Ceiling"))))</f>
        <v>Between Target and Ceiling</v>
      </c>
      <c r="F19" s="6" t="str">
        <f>IF(B19="","",IF(B19&lt;B6,"Unrealistic / high performance risk",IF(B19&lt;B7,"Aggressive pricing",IF(B19&lt;=B8,"Competitive and reasonable","Potentially overpriced"))))</f>
        <v>Competitive and reasonable</v>
      </c>
    </row>
  </sheetData>
  <mergeCells count="4">
    <mergeCell ref="A13:F13"/>
    <mergeCell ref="A2:F2"/>
    <mergeCell ref="A1:F1"/>
    <mergeCell ref="A3:D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FBAD0"/>
  </sheetPr>
  <dimension ref="A1:J18"/>
  <sheetViews>
    <sheetView workbookViewId="0">
      <selection activeCell="C21" sqref="C21"/>
    </sheetView>
  </sheetViews>
  <sheetFormatPr defaultColWidth="8.6640625" defaultRowHeight="14.4" x14ac:dyDescent="0.3"/>
  <cols>
    <col min="1" max="1" width="25" style="1" customWidth="1"/>
    <col min="2" max="2" width="14" style="1" customWidth="1"/>
    <col min="3" max="3" width="18" style="1" customWidth="1"/>
    <col min="4" max="4" width="14" style="1" customWidth="1"/>
    <col min="5" max="5" width="24" style="1" customWidth="1"/>
    <col min="6" max="6" width="32" style="1" customWidth="1"/>
    <col min="7" max="9" width="18" style="1" customWidth="1"/>
    <col min="10" max="10" width="13" style="1" customWidth="1"/>
  </cols>
  <sheetData>
    <row r="1" spans="1:6" ht="27.75" customHeight="1" x14ac:dyDescent="0.3">
      <c r="A1" s="173" t="s">
        <v>350</v>
      </c>
      <c r="B1" s="172"/>
      <c r="C1" s="172"/>
      <c r="D1" s="172"/>
      <c r="E1" s="172"/>
      <c r="F1" s="172"/>
    </row>
    <row r="2" spans="1:6" ht="21.75" customHeight="1" x14ac:dyDescent="0.3">
      <c r="A2" s="171" t="s">
        <v>1</v>
      </c>
      <c r="B2" s="172"/>
      <c r="C2" s="172"/>
      <c r="D2" s="172"/>
      <c r="E2" s="172"/>
      <c r="F2" s="172"/>
    </row>
    <row r="3" spans="1:6" ht="19.5" customHeight="1" x14ac:dyDescent="0.3">
      <c r="A3" s="175" t="s">
        <v>351</v>
      </c>
      <c r="B3" s="172"/>
      <c r="C3" s="172"/>
      <c r="D3" s="172"/>
      <c r="E3" s="3"/>
      <c r="F3" s="3"/>
    </row>
    <row r="4" spans="1:6" ht="19.5" customHeight="1" x14ac:dyDescent="0.3">
      <c r="A4" s="6" t="s">
        <v>352</v>
      </c>
      <c r="B4" s="15">
        <f>Government_TCO!B8</f>
        <v>73.469387755102048</v>
      </c>
    </row>
    <row r="5" spans="1:6" ht="19.5" customHeight="1" x14ac:dyDescent="0.3">
      <c r="A5" s="6" t="s">
        <v>353</v>
      </c>
      <c r="B5" s="15">
        <f>Vendor_Pricing!B6</f>
        <v>36</v>
      </c>
    </row>
    <row r="6" spans="1:6" ht="19.5" customHeight="1" x14ac:dyDescent="0.3">
      <c r="A6" s="45" t="s">
        <v>329</v>
      </c>
      <c r="B6" s="47">
        <f>Vendor_Pricing!B7</f>
        <v>43.714285714285715</v>
      </c>
    </row>
    <row r="7" spans="1:6" ht="19.5" customHeight="1" x14ac:dyDescent="0.3">
      <c r="A7" s="45" t="s">
        <v>354</v>
      </c>
      <c r="B7" s="47">
        <f>Vendor_Pricing!B8</f>
        <v>51.428571428571431</v>
      </c>
    </row>
    <row r="8" spans="1:6" ht="19.5" customHeight="1" x14ac:dyDescent="0.3"/>
    <row r="9" spans="1:6" ht="19.5" customHeight="1" x14ac:dyDescent="0.3">
      <c r="A9" s="175" t="s">
        <v>355</v>
      </c>
      <c r="B9" s="172"/>
      <c r="C9" s="172"/>
      <c r="D9" s="172"/>
      <c r="E9" s="172"/>
      <c r="F9" s="172"/>
    </row>
    <row r="10" spans="1:6" ht="18.75" customHeight="1" x14ac:dyDescent="0.3">
      <c r="A10" s="39" t="s">
        <v>333</v>
      </c>
      <c r="B10" s="40" t="s">
        <v>334</v>
      </c>
      <c r="C10" s="40" t="s">
        <v>356</v>
      </c>
      <c r="D10" s="40" t="s">
        <v>357</v>
      </c>
      <c r="E10" s="59" t="s">
        <v>358</v>
      </c>
      <c r="F10" s="59" t="s">
        <v>359</v>
      </c>
    </row>
    <row r="11" spans="1:6" ht="19.5" customHeight="1" x14ac:dyDescent="0.3">
      <c r="A11" s="105" t="str">
        <f>Vendor_Pricing!A15</f>
        <v>Vendor 1</v>
      </c>
      <c r="B11" s="106">
        <f>Vendor_Pricing!B15</f>
        <v>35</v>
      </c>
      <c r="C11" s="42">
        <f>IF(B11="","",B11-$B$4)</f>
        <v>-38.469387755102048</v>
      </c>
      <c r="D11" s="88">
        <f>IFERROR(C11/$B$4,"")</f>
        <v>-0.52361111111111114</v>
      </c>
      <c r="E11" s="107" t="str">
        <f>Vendor_Pricing!E15</f>
        <v>Below Floor</v>
      </c>
      <c r="F11" s="108"/>
    </row>
    <row r="12" spans="1:6" ht="19.5" customHeight="1" x14ac:dyDescent="0.3">
      <c r="A12" s="105" t="str">
        <f>Vendor_Pricing!A16</f>
        <v>Vendor 2</v>
      </c>
      <c r="B12" s="106">
        <f>Vendor_Pricing!B16</f>
        <v>37</v>
      </c>
      <c r="C12" s="42">
        <f>IF(B12="","",B12-$B$4)</f>
        <v>-36.469387755102048</v>
      </c>
      <c r="D12" s="88">
        <f>IFERROR(C12/$B$4,"")</f>
        <v>-0.49638888888888894</v>
      </c>
      <c r="E12" s="107" t="str">
        <f>Vendor_Pricing!E16</f>
        <v>Between Floor and Target</v>
      </c>
      <c r="F12" s="108"/>
    </row>
    <row r="13" spans="1:6" ht="19.5" customHeight="1" x14ac:dyDescent="0.3">
      <c r="A13" s="105" t="str">
        <f>Vendor_Pricing!A17</f>
        <v>Vendor 3</v>
      </c>
      <c r="B13" s="106">
        <f>Vendor_Pricing!B17</f>
        <v>41</v>
      </c>
      <c r="C13" s="42">
        <f>IF(B13="","",B13-$B$4)</f>
        <v>-32.469387755102048</v>
      </c>
      <c r="D13" s="88">
        <f>IFERROR(C13/$B$4,"")</f>
        <v>-0.44194444444444447</v>
      </c>
      <c r="E13" s="107" t="str">
        <f>Vendor_Pricing!E17</f>
        <v>Between Floor and Target</v>
      </c>
      <c r="F13" s="108"/>
    </row>
    <row r="14" spans="1:6" ht="19.5" customHeight="1" x14ac:dyDescent="0.3">
      <c r="A14" s="107" t="str">
        <f>Vendor_Pricing!A18</f>
        <v>Vendor 4</v>
      </c>
      <c r="B14" s="106">
        <f>Vendor_Pricing!B18</f>
        <v>42</v>
      </c>
      <c r="C14" s="42">
        <f>IF(B14="","",B14-$B$4)</f>
        <v>-31.469387755102048</v>
      </c>
      <c r="D14" s="88">
        <f>IFERROR(C14/$B$4,"")</f>
        <v>-0.4283333333333334</v>
      </c>
      <c r="E14" s="107" t="str">
        <f>Vendor_Pricing!E18</f>
        <v>Between Floor and Target</v>
      </c>
      <c r="F14" s="109"/>
    </row>
    <row r="15" spans="1:6" ht="19.5" customHeight="1" x14ac:dyDescent="0.3">
      <c r="A15" s="107" t="str">
        <f>Vendor_Pricing!A19</f>
        <v>Vendor 5</v>
      </c>
      <c r="B15" s="106">
        <f>Vendor_Pricing!B19</f>
        <v>50</v>
      </c>
      <c r="C15" s="42">
        <f>IF(B15="","",B15-$B$4)</f>
        <v>-23.469387755102048</v>
      </c>
      <c r="D15" s="88">
        <f>IFERROR(C15/$B$4,"")</f>
        <v>-0.31944444444444453</v>
      </c>
      <c r="E15" s="107" t="str">
        <f>Vendor_Pricing!E19</f>
        <v>Between Target and Ceiling</v>
      </c>
      <c r="F15" s="109"/>
    </row>
    <row r="16" spans="1:6" ht="19.5" customHeight="1" x14ac:dyDescent="0.3">
      <c r="A16" s="109"/>
      <c r="B16" s="110"/>
      <c r="C16" s="110"/>
      <c r="D16" s="111"/>
      <c r="E16" s="109"/>
      <c r="F16" s="109"/>
    </row>
    <row r="17" spans="1:6" ht="19.5" customHeight="1" x14ac:dyDescent="0.3">
      <c r="A17" s="9"/>
      <c r="B17" s="112"/>
      <c r="C17" s="112"/>
      <c r="D17" s="113"/>
      <c r="E17" s="9"/>
      <c r="F17" s="9"/>
    </row>
    <row r="18" spans="1:6" ht="19.5" customHeight="1" x14ac:dyDescent="0.3">
      <c r="A18" s="11" t="s">
        <v>360</v>
      </c>
      <c r="B18" s="114" t="s">
        <v>361</v>
      </c>
      <c r="C18" s="112"/>
      <c r="D18" s="113"/>
      <c r="E18" s="9"/>
      <c r="F18" s="9"/>
    </row>
  </sheetData>
  <mergeCells count="4">
    <mergeCell ref="A2:F2"/>
    <mergeCell ref="A1:F1"/>
    <mergeCell ref="A3:D3"/>
    <mergeCell ref="A9:F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FBAD0"/>
  </sheetPr>
  <dimension ref="A1:J30"/>
  <sheetViews>
    <sheetView workbookViewId="0">
      <selection sqref="A1:E1"/>
    </sheetView>
  </sheetViews>
  <sheetFormatPr defaultColWidth="8.6640625" defaultRowHeight="14.4" x14ac:dyDescent="0.3"/>
  <cols>
    <col min="1" max="1" width="42.88671875" style="1" customWidth="1"/>
    <col min="2" max="2" width="18" style="1" customWidth="1"/>
    <col min="3" max="3" width="14" style="1" customWidth="1"/>
    <col min="4" max="4" width="16" style="1" customWidth="1"/>
    <col min="5" max="5" width="24" style="1" customWidth="1"/>
    <col min="6" max="6" width="14" style="1" customWidth="1"/>
    <col min="7" max="9" width="18" style="1" customWidth="1"/>
    <col min="10" max="10" width="13" style="1" customWidth="1"/>
  </cols>
  <sheetData>
    <row r="1" spans="1:5" ht="27.75" customHeight="1" x14ac:dyDescent="0.3">
      <c r="A1" s="173" t="s">
        <v>362</v>
      </c>
      <c r="B1" s="172"/>
      <c r="C1" s="172"/>
      <c r="D1" s="172"/>
      <c r="E1" s="172"/>
    </row>
    <row r="2" spans="1:5" ht="21.75" customHeight="1" x14ac:dyDescent="0.3">
      <c r="A2" s="171" t="s">
        <v>1</v>
      </c>
      <c r="B2" s="172"/>
      <c r="C2" s="172"/>
      <c r="D2" s="172"/>
      <c r="E2" s="172"/>
    </row>
    <row r="3" spans="1:5" ht="19.5" customHeight="1" x14ac:dyDescent="0.3">
      <c r="A3" s="2" t="s">
        <v>363</v>
      </c>
      <c r="B3" s="3"/>
      <c r="C3" s="3"/>
      <c r="D3" s="3"/>
      <c r="E3" s="3"/>
    </row>
    <row r="4" spans="1:5" ht="18.75" customHeight="1" x14ac:dyDescent="0.3">
      <c r="A4" s="115" t="s">
        <v>188</v>
      </c>
      <c r="B4" s="116" t="s">
        <v>364</v>
      </c>
      <c r="C4" s="116" t="s">
        <v>365</v>
      </c>
      <c r="D4" s="116" t="s">
        <v>366</v>
      </c>
      <c r="E4" s="161" t="s">
        <v>367</v>
      </c>
    </row>
    <row r="5" spans="1:5" ht="19.5" customHeight="1" x14ac:dyDescent="0.3">
      <c r="A5" s="6" t="s">
        <v>124</v>
      </c>
      <c r="B5" s="14">
        <f>Scope_of_Work!B14</f>
        <v>50128</v>
      </c>
      <c r="C5" s="14">
        <f>Scope_of_Work!B14</f>
        <v>50128</v>
      </c>
      <c r="D5" s="14">
        <f>Scope_of_Work!B14</f>
        <v>50128</v>
      </c>
      <c r="E5" s="90">
        <f>Scope_of_Work!B14</f>
        <v>50128</v>
      </c>
    </row>
    <row r="6" spans="1:5" ht="19.5" customHeight="1" x14ac:dyDescent="0.3">
      <c r="A6" s="6" t="s">
        <v>128</v>
      </c>
      <c r="B6" s="14">
        <f>Scope_of_Work!B15</f>
        <v>34.428571428571431</v>
      </c>
      <c r="C6" s="14">
        <f>Scope_of_Work!B15</f>
        <v>34.428571428571431</v>
      </c>
      <c r="D6" s="14">
        <f>Scope_of_Work!B15</f>
        <v>34.428571428571431</v>
      </c>
      <c r="E6" s="90">
        <f>Scope_of_Work!B15</f>
        <v>34.428571428571431</v>
      </c>
    </row>
    <row r="7" spans="1:5" ht="19.5" customHeight="1" x14ac:dyDescent="0.3">
      <c r="A7" s="6" t="s">
        <v>368</v>
      </c>
      <c r="B7" s="117">
        <f>Government_TCO!B8</f>
        <v>73.469387755102048</v>
      </c>
      <c r="C7" s="118">
        <f>Vendor_Pricing!B5</f>
        <v>51.428571428571431</v>
      </c>
      <c r="D7" s="118">
        <f>Vendor_Pricing!B7</f>
        <v>43.714285714285715</v>
      </c>
      <c r="E7" s="119">
        <f>Vendor_Pricing!B6</f>
        <v>36</v>
      </c>
    </row>
    <row r="8" spans="1:5" ht="19.5" customHeight="1" x14ac:dyDescent="0.3">
      <c r="A8" s="6" t="s">
        <v>369</v>
      </c>
      <c r="B8" s="58">
        <f>B5*B7</f>
        <v>3682873.4693877553</v>
      </c>
      <c r="C8" s="54">
        <f>C5*C7</f>
        <v>2578011.4285714286</v>
      </c>
      <c r="D8" s="54">
        <f>D5*D7</f>
        <v>2191309.7142857146</v>
      </c>
      <c r="E8" s="120">
        <f>E5*E7</f>
        <v>1804608</v>
      </c>
    </row>
    <row r="9" spans="1:5" ht="19.5" customHeight="1" x14ac:dyDescent="0.3">
      <c r="A9" s="6" t="s">
        <v>370</v>
      </c>
      <c r="B9" s="121" t="s">
        <v>371</v>
      </c>
      <c r="C9" s="54">
        <f>B7-C7</f>
        <v>22.040816326530617</v>
      </c>
      <c r="D9" s="54">
        <f>B7-D7</f>
        <v>29.755102040816332</v>
      </c>
      <c r="E9" s="120">
        <f>B7-E7</f>
        <v>37.469387755102048</v>
      </c>
    </row>
    <row r="10" spans="1:5" ht="19.5" customHeight="1" x14ac:dyDescent="0.3">
      <c r="A10" s="45" t="s">
        <v>306</v>
      </c>
      <c r="B10" s="122" t="s">
        <v>371</v>
      </c>
      <c r="C10" s="123">
        <f>B8-C8</f>
        <v>1104862.0408163266</v>
      </c>
      <c r="D10" s="123">
        <f>B8-D8</f>
        <v>1491563.7551020407</v>
      </c>
      <c r="E10" s="124">
        <f>B8-E8</f>
        <v>1878265.4693877553</v>
      </c>
    </row>
    <row r="11" spans="1:5" ht="19.5" customHeight="1" x14ac:dyDescent="0.3">
      <c r="A11" s="6" t="s">
        <v>372</v>
      </c>
      <c r="B11" s="125" t="s">
        <v>371</v>
      </c>
      <c r="C11" s="126">
        <f>IFERROR((B8-C8)/B8,0)</f>
        <v>0.3</v>
      </c>
      <c r="D11" s="126">
        <f>IFERROR((B8-D8)/B8,0)</f>
        <v>0.40499999999999997</v>
      </c>
      <c r="E11" s="127">
        <f>IFERROR((B8-E8)/B8,0)</f>
        <v>0.51</v>
      </c>
    </row>
    <row r="12" spans="1:5" ht="19.5" customHeight="1" x14ac:dyDescent="0.3"/>
    <row r="13" spans="1:5" ht="19.5" customHeight="1" x14ac:dyDescent="0.3">
      <c r="A13" s="2" t="s">
        <v>373</v>
      </c>
      <c r="B13" s="3"/>
      <c r="C13" s="3"/>
      <c r="D13" s="3"/>
      <c r="E13" s="3"/>
    </row>
    <row r="14" spans="1:5" ht="18.75" customHeight="1" x14ac:dyDescent="0.3">
      <c r="A14" s="39" t="s">
        <v>374</v>
      </c>
      <c r="B14" s="40" t="s">
        <v>375</v>
      </c>
      <c r="C14" s="41"/>
      <c r="D14" s="41"/>
      <c r="E14" s="41"/>
    </row>
    <row r="15" spans="1:5" ht="19.5" customHeight="1" x14ac:dyDescent="0.3">
      <c r="A15" s="6" t="s">
        <v>376</v>
      </c>
      <c r="B15" s="15">
        <f>Government_TCO!B8</f>
        <v>73.469387755102048</v>
      </c>
    </row>
    <row r="16" spans="1:5" ht="19.5" customHeight="1" x14ac:dyDescent="0.3">
      <c r="A16" s="45" t="s">
        <v>377</v>
      </c>
      <c r="B16" s="47">
        <f>Vendor_Pricing!B5</f>
        <v>51.428571428571431</v>
      </c>
    </row>
    <row r="17" spans="1:5" ht="19.5" customHeight="1" x14ac:dyDescent="0.3">
      <c r="A17" s="6" t="s">
        <v>301</v>
      </c>
      <c r="B17" s="15">
        <f>Vendor_Pricing!B9</f>
        <v>22.040816326530617</v>
      </c>
    </row>
    <row r="18" spans="1:5" ht="19.5" customHeight="1" x14ac:dyDescent="0.3">
      <c r="A18" s="45" t="s">
        <v>306</v>
      </c>
      <c r="B18" s="47">
        <f>Vendor_Pricing!B10</f>
        <v>1104862.0408163269</v>
      </c>
    </row>
    <row r="19" spans="1:5" ht="19.5" customHeight="1" x14ac:dyDescent="0.3">
      <c r="A19" s="6" t="s">
        <v>378</v>
      </c>
      <c r="B19" s="87">
        <f>IFERROR(B18/(B15*Scope_of_Work!B14),0)</f>
        <v>0.3000000000000001</v>
      </c>
    </row>
    <row r="20" spans="1:5" ht="19.5" customHeight="1" x14ac:dyDescent="0.3"/>
    <row r="21" spans="1:5" ht="19.5" customHeight="1" x14ac:dyDescent="0.3">
      <c r="A21" s="2" t="s">
        <v>379</v>
      </c>
      <c r="B21" s="3"/>
      <c r="C21" s="3"/>
      <c r="D21" s="3"/>
      <c r="E21" s="3"/>
    </row>
    <row r="22" spans="1:5" ht="19.5" customHeight="1" x14ac:dyDescent="0.3">
      <c r="A22" s="6" t="s">
        <v>380</v>
      </c>
      <c r="B22" s="15">
        <f>Government_TCO!B12</f>
        <v>3682873.4693877553</v>
      </c>
    </row>
    <row r="23" spans="1:5" ht="19.5" customHeight="1" x14ac:dyDescent="0.3">
      <c r="A23" s="6" t="s">
        <v>381</v>
      </c>
      <c r="B23" s="15">
        <f>Vendor_Pricing!B5*Scope_of_Work!B14</f>
        <v>2578011.4285714286</v>
      </c>
    </row>
    <row r="24" spans="1:5" ht="19.5" customHeight="1" x14ac:dyDescent="0.3">
      <c r="A24" s="6" t="s">
        <v>382</v>
      </c>
      <c r="B24" s="15">
        <f>Vendor_Pricing!B7*Scope_of_Work!B14</f>
        <v>2191309.7142857146</v>
      </c>
    </row>
    <row r="25" spans="1:5" ht="19.5" customHeight="1" x14ac:dyDescent="0.3">
      <c r="A25" s="6" t="s">
        <v>383</v>
      </c>
      <c r="B25" s="15">
        <f>Vendor_Pricing!B6*Scope_of_Work!B14</f>
        <v>1804608</v>
      </c>
    </row>
    <row r="26" spans="1:5" ht="19.5" customHeight="1" x14ac:dyDescent="0.3">
      <c r="A26" s="6" t="s">
        <v>384</v>
      </c>
      <c r="B26" s="42">
        <f>B22-B25</f>
        <v>1878265.4693877553</v>
      </c>
    </row>
    <row r="27" spans="1:5" ht="19.5" customHeight="1" x14ac:dyDescent="0.3"/>
    <row r="28" spans="1:5" ht="19.5" customHeight="1" x14ac:dyDescent="0.3"/>
    <row r="29" spans="1:5" ht="19.5" customHeight="1" x14ac:dyDescent="0.3">
      <c r="A29" s="175" t="s">
        <v>385</v>
      </c>
      <c r="B29" s="172"/>
      <c r="C29" s="172"/>
      <c r="D29" s="172"/>
      <c r="E29" s="172"/>
    </row>
    <row r="30" spans="1:5" ht="19.5" customHeight="1" x14ac:dyDescent="0.3">
      <c r="A30" s="172"/>
      <c r="B30" s="172"/>
      <c r="C30" s="172"/>
      <c r="D30" s="172"/>
      <c r="E30" s="172"/>
    </row>
  </sheetData>
  <mergeCells count="3">
    <mergeCell ref="A2:E2"/>
    <mergeCell ref="A1:E1"/>
    <mergeCell ref="A29:E3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8"/>
  </sheetPr>
  <dimension ref="A1:J25"/>
  <sheetViews>
    <sheetView workbookViewId="0">
      <selection activeCell="G15" sqref="G15"/>
    </sheetView>
  </sheetViews>
  <sheetFormatPr defaultColWidth="8.6640625" defaultRowHeight="14.4" x14ac:dyDescent="0.3"/>
  <cols>
    <col min="1" max="1" width="39.6640625" style="1" customWidth="1"/>
    <col min="2" max="2" width="18" style="1" customWidth="1"/>
    <col min="3" max="3" width="14" style="1" customWidth="1"/>
    <col min="4" max="4" width="16" style="1" customWidth="1"/>
    <col min="5" max="5" width="24" style="1" customWidth="1"/>
    <col min="6" max="6" width="14" style="1" customWidth="1"/>
    <col min="7" max="9" width="18" style="1" customWidth="1"/>
    <col min="10" max="10" width="13" style="1" customWidth="1"/>
  </cols>
  <sheetData>
    <row r="1" spans="1:5" ht="27.75" customHeight="1" x14ac:dyDescent="0.3">
      <c r="A1" s="173" t="s">
        <v>386</v>
      </c>
      <c r="B1" s="172"/>
      <c r="C1" s="172"/>
      <c r="D1" s="172"/>
      <c r="E1" s="172"/>
    </row>
    <row r="2" spans="1:5" ht="21.75" customHeight="1" x14ac:dyDescent="0.3">
      <c r="A2" s="171" t="s">
        <v>387</v>
      </c>
      <c r="B2" s="172"/>
      <c r="C2" s="172"/>
      <c r="D2" s="172"/>
      <c r="E2" s="172"/>
    </row>
    <row r="3" spans="1:5" ht="19.5" customHeight="1" x14ac:dyDescent="0.3">
      <c r="A3" s="175" t="s">
        <v>388</v>
      </c>
      <c r="B3" s="172"/>
      <c r="C3" s="172"/>
      <c r="D3" s="3"/>
      <c r="E3" s="3"/>
    </row>
    <row r="4" spans="1:5" ht="18.75" customHeight="1" x14ac:dyDescent="0.3">
      <c r="A4" s="68" t="s">
        <v>124</v>
      </c>
      <c r="B4" s="128">
        <f>Scope_of_Work!B14</f>
        <v>50128</v>
      </c>
    </row>
    <row r="5" spans="1:5" ht="18.75" customHeight="1" x14ac:dyDescent="0.3">
      <c r="A5" s="68" t="s">
        <v>128</v>
      </c>
      <c r="B5" s="128">
        <f>Scope_of_Work!B15</f>
        <v>34.428571428571431</v>
      </c>
    </row>
    <row r="6" spans="1:5" ht="18.75" customHeight="1" x14ac:dyDescent="0.3">
      <c r="A6" s="68" t="s">
        <v>691</v>
      </c>
      <c r="B6" s="56">
        <f>Government_TCO!B8</f>
        <v>73.469387755102048</v>
      </c>
    </row>
    <row r="7" spans="1:5" ht="18.75" customHeight="1" x14ac:dyDescent="0.3">
      <c r="A7" s="45" t="s">
        <v>692</v>
      </c>
      <c r="B7" s="56">
        <f>Government_TCO!B12</f>
        <v>3682873.4693877553</v>
      </c>
    </row>
    <row r="8" spans="1:5" ht="18.75" customHeight="1" x14ac:dyDescent="0.3">
      <c r="A8" s="68" t="s">
        <v>390</v>
      </c>
      <c r="B8" s="78">
        <f>Uniform_Equipment!C35</f>
        <v>43322.125000000007</v>
      </c>
    </row>
    <row r="9" spans="1:5" ht="18.75" customHeight="1" x14ac:dyDescent="0.3">
      <c r="A9" s="45" t="s">
        <v>377</v>
      </c>
      <c r="B9" s="56">
        <f>Vendor_Pricing!B5</f>
        <v>51.428571428571431</v>
      </c>
    </row>
    <row r="10" spans="1:5" ht="18.75" customHeight="1" x14ac:dyDescent="0.3">
      <c r="A10" s="45" t="s">
        <v>391</v>
      </c>
      <c r="B10" s="56">
        <f>Vendor_Pricing!B6</f>
        <v>36</v>
      </c>
    </row>
    <row r="11" spans="1:5" ht="18.75" customHeight="1" x14ac:dyDescent="0.3">
      <c r="A11" s="45" t="s">
        <v>329</v>
      </c>
      <c r="B11" s="167">
        <f>Vendor_Pricing!B7</f>
        <v>43.714285714285715</v>
      </c>
    </row>
    <row r="12" spans="1:5" ht="18.75" customHeight="1" x14ac:dyDescent="0.3">
      <c r="A12" s="45" t="s">
        <v>354</v>
      </c>
      <c r="B12" s="56">
        <f>Vendor_Pricing!B8</f>
        <v>51.428571428571431</v>
      </c>
    </row>
    <row r="13" spans="1:5" ht="18.75" customHeight="1" x14ac:dyDescent="0.3">
      <c r="A13" s="45" t="s">
        <v>392</v>
      </c>
      <c r="B13" s="56">
        <f>Vendor_Pricing!B9</f>
        <v>22.040816326530617</v>
      </c>
    </row>
    <row r="14" spans="1:5" ht="18.75" customHeight="1" x14ac:dyDescent="0.3">
      <c r="A14" s="68" t="s">
        <v>393</v>
      </c>
      <c r="B14" s="56">
        <f>Vendor_Pricing!B10</f>
        <v>1104862.0408163269</v>
      </c>
    </row>
    <row r="15" spans="1:5" ht="18.75" customHeight="1" x14ac:dyDescent="0.3">
      <c r="A15" s="68" t="s">
        <v>394</v>
      </c>
      <c r="B15" s="78">
        <f>Vehicle!C29</f>
        <v>122466.32727272727</v>
      </c>
    </row>
    <row r="16" spans="1:5" ht="18.75" customHeight="1" x14ac:dyDescent="0.3">
      <c r="A16" s="45" t="s">
        <v>395</v>
      </c>
      <c r="B16" s="56">
        <f>Buyer_Vendor_Comparison!C10</f>
        <v>1104862.0408163266</v>
      </c>
    </row>
    <row r="17" spans="1:5" ht="19.5" customHeight="1" x14ac:dyDescent="0.3"/>
    <row r="18" spans="1:5" ht="19.5" customHeight="1" x14ac:dyDescent="0.3">
      <c r="A18" s="2" t="s">
        <v>396</v>
      </c>
      <c r="B18" s="3"/>
      <c r="C18" s="3"/>
      <c r="D18" s="3"/>
      <c r="E18" s="3"/>
    </row>
    <row r="19" spans="1:5" ht="19.5" customHeight="1" x14ac:dyDescent="0.3">
      <c r="A19" s="11" t="s">
        <v>390</v>
      </c>
      <c r="B19" s="129">
        <f>Uniform_Equipment!C35</f>
        <v>43322.125000000007</v>
      </c>
    </row>
    <row r="20" spans="1:5" ht="19.5" customHeight="1" x14ac:dyDescent="0.3">
      <c r="A20" s="2" t="s">
        <v>397</v>
      </c>
      <c r="B20" s="3"/>
      <c r="C20" s="3"/>
      <c r="D20" s="3"/>
      <c r="E20" s="3"/>
    </row>
    <row r="21" spans="1:5" ht="15" customHeight="1" x14ac:dyDescent="0.3">
      <c r="A21" s="6" t="s">
        <v>398</v>
      </c>
      <c r="B21" s="15">
        <f>Buyer_Vendor_Comparison!C10</f>
        <v>1104862.0408163266</v>
      </c>
    </row>
    <row r="22" spans="1:5" ht="15" customHeight="1" x14ac:dyDescent="0.3">
      <c r="A22" s="6" t="s">
        <v>399</v>
      </c>
      <c r="B22" s="15">
        <f>Buyer_Vendor_Comparison!D10</f>
        <v>1491563.7551020407</v>
      </c>
    </row>
    <row r="23" spans="1:5" ht="15" customHeight="1" x14ac:dyDescent="0.3">
      <c r="A23" s="6" t="s">
        <v>400</v>
      </c>
      <c r="B23" s="15">
        <f>Buyer_Vendor_Comparison!E10</f>
        <v>1878265.4693877553</v>
      </c>
    </row>
    <row r="24" spans="1:5" ht="15" customHeight="1" x14ac:dyDescent="0.3">
      <c r="A24" s="6" t="s">
        <v>401</v>
      </c>
      <c r="B24" s="15">
        <f>Government_TCO!D37</f>
        <v>8.571428571428573</v>
      </c>
    </row>
    <row r="25" spans="1:5" ht="15" customHeight="1" x14ac:dyDescent="0.3">
      <c r="A25" s="6" t="s">
        <v>402</v>
      </c>
      <c r="B25" s="15">
        <f>Government_TCO!D39</f>
        <v>0</v>
      </c>
    </row>
  </sheetData>
  <mergeCells count="3">
    <mergeCell ref="A2:E2"/>
    <mergeCell ref="A1:E1"/>
    <mergeCell ref="A3:C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sheetPr>
  <dimension ref="A1:N59"/>
  <sheetViews>
    <sheetView workbookViewId="0"/>
  </sheetViews>
  <sheetFormatPr defaultColWidth="8.6640625" defaultRowHeight="14.4" x14ac:dyDescent="0.3"/>
  <cols>
    <col min="1" max="1" width="4" style="1" customWidth="1"/>
    <col min="2" max="2" width="30" style="1" customWidth="1"/>
    <col min="3" max="3" width="18" style="1" customWidth="1"/>
    <col min="4" max="4" width="4" style="1" customWidth="1"/>
    <col min="5" max="8" width="16" style="1" customWidth="1"/>
    <col min="10" max="14" width="13" style="1" hidden="1" customWidth="1"/>
  </cols>
  <sheetData>
    <row r="1" spans="2:10" ht="51.75" customHeight="1" x14ac:dyDescent="0.3">
      <c r="B1" s="184" t="s">
        <v>403</v>
      </c>
      <c r="C1" s="172"/>
      <c r="D1" s="172"/>
      <c r="E1" s="172"/>
      <c r="F1" s="172"/>
      <c r="G1" s="172"/>
      <c r="H1" s="172"/>
    </row>
    <row r="2" spans="2:10" ht="27.75" customHeight="1" x14ac:dyDescent="0.3">
      <c r="B2" s="195" t="s">
        <v>404</v>
      </c>
      <c r="C2" s="172"/>
      <c r="D2" s="172"/>
      <c r="E2" s="172"/>
      <c r="F2" s="172"/>
      <c r="G2" s="172"/>
      <c r="H2" s="172"/>
      <c r="J2" s="1">
        <f>IF(IFERROR(Post_Positions!$U$5,0)&gt;0,Post_Positions!$U$5,Scope_of_Work!B13)</f>
        <v>964</v>
      </c>
    </row>
    <row r="3" spans="2:10" ht="24" customHeight="1" x14ac:dyDescent="0.3">
      <c r="B3" s="200" t="s">
        <v>405</v>
      </c>
      <c r="C3" s="172"/>
      <c r="D3" s="172"/>
      <c r="E3" s="172"/>
      <c r="F3" s="172"/>
      <c r="G3" s="172"/>
      <c r="H3" s="172"/>
      <c r="J3" s="1">
        <f>IF(IFERROR(Post_Positions!$U$5,0)&gt;0,Post_Positions!$U$15,Vendor_Pricing!B7)</f>
        <v>51.428571428571423</v>
      </c>
    </row>
    <row r="4" spans="2:10" ht="21.75" customHeight="1" x14ac:dyDescent="0.3">
      <c r="J4" s="1">
        <f>IF(IFERROR(Post_Positions!$U$5,0)&gt;0,Post_Positions!$U$14,Direct_Labor!C8)</f>
        <v>20</v>
      </c>
    </row>
    <row r="5" spans="2:10" ht="9.75" customHeight="1" x14ac:dyDescent="0.3">
      <c r="J5" s="1">
        <f>Direct_Labor!C5</f>
        <v>3.4799999999999995</v>
      </c>
    </row>
    <row r="6" spans="2:10" ht="21.75" customHeight="1" x14ac:dyDescent="0.3">
      <c r="J6" s="1">
        <f>Direct_Labor!C7</f>
        <v>0.84599999999999997</v>
      </c>
    </row>
    <row r="7" spans="2:10" ht="21.75" customHeight="1" x14ac:dyDescent="0.3">
      <c r="B7" s="187" t="s">
        <v>406</v>
      </c>
      <c r="C7" s="172"/>
      <c r="D7" s="172"/>
      <c r="E7" s="172"/>
      <c r="F7" s="172"/>
      <c r="G7" s="172"/>
      <c r="H7" s="172"/>
      <c r="J7" s="1">
        <f>Direct_Labor!C8+Fringe_Costs!C12</f>
        <v>36.39228</v>
      </c>
    </row>
    <row r="8" spans="2:10" ht="21.75" customHeight="1" x14ac:dyDescent="0.3">
      <c r="B8" s="185" t="s">
        <v>56</v>
      </c>
      <c r="C8" s="177"/>
      <c r="D8" s="177"/>
      <c r="E8" s="186"/>
      <c r="F8" s="204">
        <f>J2</f>
        <v>964</v>
      </c>
      <c r="G8" s="177"/>
      <c r="H8" s="186"/>
      <c r="J8" s="1">
        <f>IF(IFERROR(Post_Positions!$U$5,0)&gt;0,Post_Positions!$U$7,J2*J3)</f>
        <v>49577.142857142855</v>
      </c>
    </row>
    <row r="9" spans="2:10" ht="21.75" customHeight="1" x14ac:dyDescent="0.3">
      <c r="B9" s="185" t="s">
        <v>407</v>
      </c>
      <c r="C9" s="177"/>
      <c r="D9" s="177"/>
      <c r="E9" s="186"/>
      <c r="F9" s="197">
        <f>J8</f>
        <v>49577.142857142855</v>
      </c>
      <c r="G9" s="177"/>
      <c r="H9" s="186"/>
      <c r="J9" s="1">
        <f>J8*52</f>
        <v>2578011.4285714286</v>
      </c>
    </row>
    <row r="10" spans="2:10" ht="21.75" customHeight="1" x14ac:dyDescent="0.3">
      <c r="B10" s="185" t="s">
        <v>408</v>
      </c>
      <c r="C10" s="177"/>
      <c r="D10" s="177"/>
      <c r="E10" s="186"/>
      <c r="F10" s="190">
        <f>J4</f>
        <v>20</v>
      </c>
      <c r="G10" s="177"/>
      <c r="H10" s="186"/>
      <c r="J10" s="1">
        <f>IF(IFERROR(Post_Positions!$U$5,0)&gt;0,Post_Positions!$U$17+Post_Positions!$U$18,Direct_Labor!D8+Fringe_Costs!D12+Operations!D14)</f>
        <v>1002560</v>
      </c>
    </row>
    <row r="11" spans="2:10" ht="21.75" customHeight="1" x14ac:dyDescent="0.3">
      <c r="B11" s="185" t="s">
        <v>409</v>
      </c>
      <c r="C11" s="177"/>
      <c r="D11" s="177"/>
      <c r="E11" s="186"/>
      <c r="F11" s="190">
        <f>J3</f>
        <v>51.428571428571423</v>
      </c>
      <c r="G11" s="177"/>
      <c r="H11" s="186"/>
      <c r="J11" s="1">
        <f>Vehicle!C29</f>
        <v>122466.32727272727</v>
      </c>
    </row>
    <row r="12" spans="2:10" ht="21.75" customHeight="1" x14ac:dyDescent="0.3">
      <c r="B12" s="185" t="s">
        <v>410</v>
      </c>
      <c r="C12" s="177"/>
      <c r="D12" s="177"/>
      <c r="E12" s="186"/>
      <c r="F12" s="190">
        <f>J20</f>
        <v>77.142857142857139</v>
      </c>
      <c r="G12" s="177"/>
      <c r="H12" s="186"/>
      <c r="J12" s="1">
        <f>Vehicle!C29</f>
        <v>122466.32727272727</v>
      </c>
    </row>
    <row r="13" spans="2:10" ht="21.75" customHeight="1" x14ac:dyDescent="0.3">
      <c r="B13" s="185" t="s">
        <v>411</v>
      </c>
      <c r="C13" s="177"/>
      <c r="D13" s="177"/>
      <c r="E13" s="186"/>
      <c r="F13" s="190">
        <f>J21</f>
        <v>77.142857142857139</v>
      </c>
      <c r="G13" s="177"/>
      <c r="H13" s="186"/>
      <c r="J13" s="1">
        <f>J9+J11</f>
        <v>2700477.7558441558</v>
      </c>
    </row>
    <row r="14" spans="2:10" ht="21.75" customHeight="1" x14ac:dyDescent="0.3">
      <c r="B14" s="185" t="s">
        <v>412</v>
      </c>
      <c r="C14" s="177"/>
      <c r="D14" s="177"/>
      <c r="E14" s="186"/>
      <c r="F14" s="190">
        <f>J7</f>
        <v>36.39228</v>
      </c>
      <c r="G14" s="177"/>
      <c r="H14" s="186"/>
      <c r="J14" s="1">
        <f>J10+J12</f>
        <v>1125026.3272727272</v>
      </c>
    </row>
    <row r="15" spans="2:10" ht="21.75" customHeight="1" x14ac:dyDescent="0.3">
      <c r="B15" s="185" t="s">
        <v>413</v>
      </c>
      <c r="C15" s="177"/>
      <c r="D15" s="177"/>
      <c r="E15" s="186"/>
      <c r="F15" s="190">
        <f>J22</f>
        <v>53.87164370898811</v>
      </c>
      <c r="G15" s="177"/>
      <c r="H15" s="186"/>
      <c r="J15" s="1">
        <f>J13-J14</f>
        <v>1575451.4285714286</v>
      </c>
    </row>
    <row r="16" spans="2:10" ht="21.75" hidden="1" customHeight="1" x14ac:dyDescent="0.3">
      <c r="B16" s="185" t="s">
        <v>414</v>
      </c>
      <c r="C16" s="177"/>
      <c r="D16" s="177"/>
      <c r="E16" s="186"/>
      <c r="F16" s="198">
        <f>J18</f>
        <v>0.70762766666666677</v>
      </c>
      <c r="G16" s="177"/>
      <c r="H16" s="186"/>
      <c r="J16" s="1">
        <f>IFERROR(J15/J13,0)</f>
        <v>0.58339729892681547</v>
      </c>
    </row>
    <row r="17" spans="2:10" ht="21.75" hidden="1" customHeight="1" x14ac:dyDescent="0.3">
      <c r="B17" s="185" t="s">
        <v>415</v>
      </c>
      <c r="C17" s="177"/>
      <c r="D17" s="177"/>
      <c r="E17" s="186"/>
      <c r="F17" s="206">
        <f>J19</f>
        <v>1.4131725582615715</v>
      </c>
      <c r="G17" s="177"/>
      <c r="H17" s="186"/>
      <c r="J17" s="1">
        <f>IFERROR(J15/Scope_of_Work!B14,0)</f>
        <v>31.428571428571431</v>
      </c>
    </row>
    <row r="18" spans="2:10" ht="21.75" customHeight="1" x14ac:dyDescent="0.3">
      <c r="J18" s="1">
        <f>IFERROR(J7/J3,0)</f>
        <v>0.70762766666666677</v>
      </c>
    </row>
    <row r="19" spans="2:10" ht="21.75" customHeight="1" x14ac:dyDescent="0.3">
      <c r="B19" s="187" t="s">
        <v>416</v>
      </c>
      <c r="C19" s="172"/>
      <c r="D19" s="172"/>
      <c r="E19" s="172"/>
      <c r="F19" s="172"/>
      <c r="G19" s="172"/>
      <c r="H19" s="172"/>
      <c r="J19" s="1">
        <f>IFERROR(J3/J7,0)</f>
        <v>1.4131725582615715</v>
      </c>
    </row>
    <row r="20" spans="2:10" ht="21.75" customHeight="1" x14ac:dyDescent="0.3">
      <c r="B20" s="185" t="s">
        <v>417</v>
      </c>
      <c r="C20" s="177"/>
      <c r="D20" s="177"/>
      <c r="E20" s="186"/>
      <c r="F20" s="197">
        <f>J9</f>
        <v>2578011.4285714286</v>
      </c>
      <c r="G20" s="177"/>
      <c r="H20" s="186"/>
      <c r="J20" s="1">
        <f>J3*1.5</f>
        <v>77.142857142857139</v>
      </c>
    </row>
    <row r="21" spans="2:10" ht="21.75" customHeight="1" x14ac:dyDescent="0.3">
      <c r="B21" s="185" t="s">
        <v>418</v>
      </c>
      <c r="C21" s="177"/>
      <c r="D21" s="177"/>
      <c r="E21" s="186"/>
      <c r="F21" s="197">
        <f>J11</f>
        <v>122466.32727272727</v>
      </c>
      <c r="G21" s="177"/>
      <c r="H21" s="186"/>
      <c r="J21" s="1">
        <f>J3*1.5</f>
        <v>77.142857142857139</v>
      </c>
    </row>
    <row r="22" spans="2:10" ht="21.75" customHeight="1" x14ac:dyDescent="0.3">
      <c r="B22" s="188" t="s">
        <v>419</v>
      </c>
      <c r="C22" s="177"/>
      <c r="D22" s="177"/>
      <c r="E22" s="186"/>
      <c r="F22" s="205">
        <f>J13</f>
        <v>2700477.7558441558</v>
      </c>
      <c r="G22" s="177"/>
      <c r="H22" s="186"/>
      <c r="J22" s="1">
        <f>IFERROR(J13/Scope_of_Work!B14,0)</f>
        <v>53.87164370898811</v>
      </c>
    </row>
    <row r="23" spans="2:10" ht="21.75" customHeight="1" x14ac:dyDescent="0.3">
      <c r="J23" s="1">
        <f>Government_TCO!B8</f>
        <v>73.469387755102048</v>
      </c>
    </row>
    <row r="24" spans="2:10" ht="21.75" customHeight="1" x14ac:dyDescent="0.3">
      <c r="B24" s="207" t="s">
        <v>420</v>
      </c>
      <c r="C24" s="172"/>
      <c r="D24" s="172"/>
      <c r="E24" s="172"/>
      <c r="F24" s="192">
        <f>J10</f>
        <v>1002560</v>
      </c>
      <c r="G24" s="193"/>
      <c r="H24" s="194"/>
      <c r="J24" s="1">
        <f>Vendor_Pricing!B5</f>
        <v>51.428571428571431</v>
      </c>
    </row>
    <row r="25" spans="2:10" ht="21.75" customHeight="1" x14ac:dyDescent="0.3">
      <c r="B25" s="185" t="s">
        <v>421</v>
      </c>
      <c r="C25" s="177"/>
      <c r="D25" s="177"/>
      <c r="E25" s="186"/>
      <c r="F25" s="197">
        <f>J12</f>
        <v>122466.32727272727</v>
      </c>
      <c r="G25" s="177"/>
      <c r="H25" s="186"/>
      <c r="J25" s="1">
        <f>Vendor_Pricing!B6</f>
        <v>36</v>
      </c>
    </row>
    <row r="26" spans="2:10" ht="21.75" customHeight="1" x14ac:dyDescent="0.3">
      <c r="B26" s="188" t="s">
        <v>422</v>
      </c>
      <c r="C26" s="177"/>
      <c r="D26" s="177"/>
      <c r="E26" s="186"/>
      <c r="F26" s="205">
        <f>J14</f>
        <v>1125026.3272727272</v>
      </c>
      <c r="G26" s="177"/>
      <c r="H26" s="186"/>
      <c r="J26" s="1">
        <f>Vendor_Pricing!B7</f>
        <v>43.714285714285715</v>
      </c>
    </row>
    <row r="27" spans="2:10" ht="21.75" customHeight="1" x14ac:dyDescent="0.3">
      <c r="J27" s="1">
        <f>Vendor_Pricing!B8</f>
        <v>51.428571428571431</v>
      </c>
    </row>
    <row r="28" spans="2:10" ht="21.75" customHeight="1" x14ac:dyDescent="0.3">
      <c r="B28" s="188" t="s">
        <v>423</v>
      </c>
      <c r="C28" s="177"/>
      <c r="D28" s="177"/>
      <c r="E28" s="186"/>
      <c r="F28" s="203">
        <f>J15</f>
        <v>1575451.4285714286</v>
      </c>
      <c r="G28" s="177"/>
      <c r="H28" s="186"/>
      <c r="J28" s="1">
        <f>Vendor_Pricing!B9</f>
        <v>22.040816326530617</v>
      </c>
    </row>
    <row r="29" spans="2:10" ht="21.75" customHeight="1" x14ac:dyDescent="0.3">
      <c r="B29" s="188" t="s">
        <v>424</v>
      </c>
      <c r="C29" s="177"/>
      <c r="D29" s="177"/>
      <c r="E29" s="186"/>
      <c r="F29" s="196">
        <f>J16</f>
        <v>0.58339729892681547</v>
      </c>
      <c r="G29" s="177"/>
      <c r="H29" s="186"/>
      <c r="J29" s="1">
        <f>Vendor_Pricing!B10</f>
        <v>1104862.0408163269</v>
      </c>
    </row>
    <row r="30" spans="2:10" ht="21.75" customHeight="1" x14ac:dyDescent="0.3">
      <c r="B30" s="188" t="s">
        <v>425</v>
      </c>
      <c r="C30" s="177"/>
      <c r="D30" s="177"/>
      <c r="E30" s="186"/>
      <c r="F30" s="191">
        <f>J17</f>
        <v>31.428571428571431</v>
      </c>
      <c r="G30" s="177"/>
      <c r="H30" s="186"/>
      <c r="J30" s="1">
        <f>Buyer_Vendor_Comparison!C11</f>
        <v>0.3</v>
      </c>
    </row>
    <row r="31" spans="2:10" ht="21.75" customHeight="1" x14ac:dyDescent="0.3">
      <c r="B31" s="185" t="s">
        <v>426</v>
      </c>
      <c r="C31" s="177"/>
      <c r="D31" s="177"/>
      <c r="E31" s="186"/>
      <c r="F31" s="197">
        <f>J12</f>
        <v>122466.32727272727</v>
      </c>
      <c r="G31" s="177"/>
      <c r="H31" s="186"/>
      <c r="J31" s="1">
        <f>IFERROR(J14/12,0)</f>
        <v>93752.193939393925</v>
      </c>
    </row>
    <row r="32" spans="2:10" ht="21.75" customHeight="1" x14ac:dyDescent="0.3">
      <c r="B32" s="185" t="s">
        <v>427</v>
      </c>
      <c r="C32" s="177"/>
      <c r="D32" s="177"/>
      <c r="E32" s="186"/>
      <c r="F32" s="204">
        <f>J36</f>
        <v>3.600000000000001</v>
      </c>
      <c r="G32" s="177"/>
      <c r="H32" s="186"/>
      <c r="J32" s="1" t="str">
        <f>IF(J2&gt;=J31,"Eligible","Not Eligible")</f>
        <v>Not Eligible</v>
      </c>
    </row>
    <row r="33" spans="2:10" ht="21.75" customHeight="1" x14ac:dyDescent="0.3">
      <c r="J33" s="1">
        <f>IFERROR((J26-J25)/(J27-J25),0)</f>
        <v>0.5</v>
      </c>
    </row>
    <row r="34" spans="2:10" ht="21.75" customHeight="1" x14ac:dyDescent="0.3">
      <c r="B34" s="187" t="s">
        <v>428</v>
      </c>
      <c r="C34" s="172"/>
      <c r="D34" s="172"/>
      <c r="E34" s="172"/>
      <c r="F34" s="172"/>
      <c r="G34" s="172"/>
      <c r="H34" s="172"/>
      <c r="J34" s="1" t="str">
        <f>IF(J29&gt;=100000,"A",IF(J29&gt;=50000,"B",IF(J29&gt;=25000,"C",IF(J29&gt;0,"D","F"))))</f>
        <v>A</v>
      </c>
    </row>
    <row r="35" spans="2:10" ht="21.75" customHeight="1" x14ac:dyDescent="0.3">
      <c r="B35" s="185" t="s">
        <v>376</v>
      </c>
      <c r="C35" s="177"/>
      <c r="D35" s="177"/>
      <c r="E35" s="186"/>
      <c r="F35" s="201">
        <f t="shared" ref="F35:F42" si="0">J23</f>
        <v>73.469387755102048</v>
      </c>
      <c r="G35" s="177"/>
      <c r="H35" s="186"/>
      <c r="J35" s="1">
        <f>IFERROR(J23*J2*52/12,0)</f>
        <v>306906.12244897959</v>
      </c>
    </row>
    <row r="36" spans="2:10" ht="21.75" customHeight="1" x14ac:dyDescent="0.3">
      <c r="B36" s="185" t="s">
        <v>429</v>
      </c>
      <c r="C36" s="177"/>
      <c r="D36" s="177"/>
      <c r="E36" s="186"/>
      <c r="F36" s="201">
        <f t="shared" si="0"/>
        <v>51.428571428571431</v>
      </c>
      <c r="G36" s="177"/>
      <c r="H36" s="186"/>
      <c r="J36" s="1">
        <f>IFERROR(J29/J35,0)</f>
        <v>3.600000000000001</v>
      </c>
    </row>
    <row r="37" spans="2:10" ht="21.75" customHeight="1" x14ac:dyDescent="0.3">
      <c r="B37" s="185" t="s">
        <v>430</v>
      </c>
      <c r="C37" s="177"/>
      <c r="D37" s="177"/>
      <c r="E37" s="186"/>
      <c r="F37" s="201">
        <f t="shared" si="0"/>
        <v>36</v>
      </c>
      <c r="G37" s="177"/>
      <c r="H37" s="186"/>
    </row>
    <row r="38" spans="2:10" ht="21.75" customHeight="1" x14ac:dyDescent="0.3">
      <c r="B38" s="185" t="s">
        <v>329</v>
      </c>
      <c r="C38" s="177"/>
      <c r="D38" s="177"/>
      <c r="E38" s="186"/>
      <c r="F38" s="201">
        <f t="shared" si="0"/>
        <v>43.714285714285715</v>
      </c>
      <c r="G38" s="177"/>
      <c r="H38" s="186"/>
    </row>
    <row r="39" spans="2:10" ht="21.75" customHeight="1" x14ac:dyDescent="0.3">
      <c r="B39" s="185" t="s">
        <v>354</v>
      </c>
      <c r="C39" s="177"/>
      <c r="D39" s="177"/>
      <c r="E39" s="186"/>
      <c r="F39" s="201">
        <f t="shared" si="0"/>
        <v>51.428571428571431</v>
      </c>
      <c r="G39" s="177"/>
      <c r="H39" s="186"/>
    </row>
    <row r="40" spans="2:10" ht="21.75" customHeight="1" x14ac:dyDescent="0.3">
      <c r="B40" s="188" t="s">
        <v>301</v>
      </c>
      <c r="C40" s="177"/>
      <c r="D40" s="177"/>
      <c r="E40" s="186"/>
      <c r="F40" s="189">
        <f t="shared" si="0"/>
        <v>22.040816326530617</v>
      </c>
      <c r="G40" s="177"/>
      <c r="H40" s="186"/>
    </row>
    <row r="41" spans="2:10" ht="21.75" customHeight="1" x14ac:dyDescent="0.3">
      <c r="B41" s="188" t="s">
        <v>306</v>
      </c>
      <c r="C41" s="177"/>
      <c r="D41" s="177"/>
      <c r="E41" s="186"/>
      <c r="F41" s="208">
        <f t="shared" si="0"/>
        <v>1104862.0408163269</v>
      </c>
      <c r="G41" s="177"/>
      <c r="H41" s="186"/>
    </row>
    <row r="42" spans="2:10" ht="21.75" customHeight="1" x14ac:dyDescent="0.3">
      <c r="B42" s="188" t="s">
        <v>372</v>
      </c>
      <c r="C42" s="177"/>
      <c r="D42" s="177"/>
      <c r="E42" s="186"/>
      <c r="F42" s="209">
        <f t="shared" si="0"/>
        <v>0.3</v>
      </c>
      <c r="G42" s="177"/>
      <c r="H42" s="186"/>
    </row>
    <row r="43" spans="2:10" ht="21.75" customHeight="1" x14ac:dyDescent="0.3"/>
    <row r="44" spans="2:10" ht="21.75" customHeight="1" x14ac:dyDescent="0.3">
      <c r="B44" s="187" t="s">
        <v>431</v>
      </c>
      <c r="C44" s="172"/>
      <c r="D44" s="172"/>
      <c r="E44" s="172"/>
      <c r="F44" s="172"/>
      <c r="G44" s="172"/>
      <c r="H44" s="172"/>
    </row>
    <row r="45" spans="2:10" ht="21.75" customHeight="1" x14ac:dyDescent="0.3">
      <c r="B45" s="185" t="s">
        <v>36</v>
      </c>
      <c r="C45" s="177"/>
      <c r="D45" s="177"/>
      <c r="E45" s="186"/>
      <c r="F45" s="204">
        <f>J31</f>
        <v>93752.193939393925</v>
      </c>
      <c r="G45" s="177"/>
      <c r="H45" s="186"/>
    </row>
    <row r="46" spans="2:10" ht="21.75" customHeight="1" x14ac:dyDescent="0.3">
      <c r="B46" s="185" t="s">
        <v>432</v>
      </c>
      <c r="C46" s="177"/>
      <c r="D46" s="177"/>
      <c r="E46" s="186"/>
      <c r="F46" s="199" t="str">
        <f>J32</f>
        <v>Not Eligible</v>
      </c>
      <c r="G46" s="177"/>
      <c r="H46" s="186"/>
    </row>
    <row r="47" spans="2:10" ht="21.75" customHeight="1" x14ac:dyDescent="0.3">
      <c r="B47" s="185" t="s">
        <v>433</v>
      </c>
      <c r="C47" s="177"/>
      <c r="D47" s="177"/>
      <c r="E47" s="186"/>
      <c r="F47" s="198">
        <f>J33</f>
        <v>0.5</v>
      </c>
      <c r="G47" s="177"/>
      <c r="H47" s="186"/>
    </row>
    <row r="48" spans="2:10" ht="21.75" customHeight="1" x14ac:dyDescent="0.3">
      <c r="B48" s="185" t="s">
        <v>434</v>
      </c>
      <c r="C48" s="177"/>
      <c r="D48" s="177"/>
      <c r="E48" s="186"/>
      <c r="F48" s="199" t="str">
        <f>J34</f>
        <v>A</v>
      </c>
      <c r="G48" s="177"/>
      <c r="H48" s="186"/>
    </row>
    <row r="49" spans="2:8" ht="21.75" customHeight="1" x14ac:dyDescent="0.3"/>
    <row r="50" spans="2:8" ht="21.75" customHeight="1" x14ac:dyDescent="0.3">
      <c r="B50" s="202" t="s">
        <v>435</v>
      </c>
      <c r="C50" s="172"/>
      <c r="D50" s="172"/>
      <c r="E50" s="172"/>
      <c r="F50" s="172"/>
      <c r="G50" s="172"/>
      <c r="H50" s="172"/>
    </row>
    <row r="51" spans="2:8" ht="21.75" customHeight="1" x14ac:dyDescent="0.3"/>
    <row r="52" spans="2:8" ht="21.75" customHeight="1" x14ac:dyDescent="0.3"/>
    <row r="53" spans="2:8" ht="21.75" customHeight="1" x14ac:dyDescent="0.3"/>
    <row r="54" spans="2:8" ht="21.75" customHeight="1" x14ac:dyDescent="0.3"/>
    <row r="55" spans="2:8" ht="21.75" customHeight="1" x14ac:dyDescent="0.3"/>
    <row r="56" spans="2:8" ht="21.75" customHeight="1" x14ac:dyDescent="0.3"/>
    <row r="57" spans="2:8" ht="21.75" customHeight="1" x14ac:dyDescent="0.3"/>
    <row r="58" spans="2:8" ht="21.75" customHeight="1" x14ac:dyDescent="0.3"/>
    <row r="59" spans="2:8" ht="21.75" customHeight="1" x14ac:dyDescent="0.3"/>
  </sheetData>
  <mergeCells count="74">
    <mergeCell ref="B9:E9"/>
    <mergeCell ref="F42:H42"/>
    <mergeCell ref="F36:H36"/>
    <mergeCell ref="F21:H21"/>
    <mergeCell ref="B26:E26"/>
    <mergeCell ref="B41:E41"/>
    <mergeCell ref="F8:H8"/>
    <mergeCell ref="B15:E15"/>
    <mergeCell ref="F26:H26"/>
    <mergeCell ref="F17:H17"/>
    <mergeCell ref="B24:E24"/>
    <mergeCell ref="B20:E20"/>
    <mergeCell ref="F22:H22"/>
    <mergeCell ref="F13:H13"/>
    <mergeCell ref="B16:E16"/>
    <mergeCell ref="B25:E25"/>
    <mergeCell ref="B37:E37"/>
    <mergeCell ref="F41:H41"/>
    <mergeCell ref="B19:H19"/>
    <mergeCell ref="B30:E30"/>
    <mergeCell ref="B50:H50"/>
    <mergeCell ref="B45:E45"/>
    <mergeCell ref="F46:H46"/>
    <mergeCell ref="F28:H28"/>
    <mergeCell ref="B35:E35"/>
    <mergeCell ref="F31:H31"/>
    <mergeCell ref="B47:E47"/>
    <mergeCell ref="F47:H47"/>
    <mergeCell ref="B32:E32"/>
    <mergeCell ref="F38:H38"/>
    <mergeCell ref="F45:H45"/>
    <mergeCell ref="F32:H32"/>
    <mergeCell ref="F35:H35"/>
    <mergeCell ref="B36:E36"/>
    <mergeCell ref="B40:E40"/>
    <mergeCell ref="B8:E8"/>
    <mergeCell ref="B7:H7"/>
    <mergeCell ref="F9:H9"/>
    <mergeCell ref="F48:H48"/>
    <mergeCell ref="B3:H3"/>
    <mergeCell ref="F15:H15"/>
    <mergeCell ref="F37:H37"/>
    <mergeCell ref="F39:H39"/>
    <mergeCell ref="B22:E22"/>
    <mergeCell ref="B46:E46"/>
    <mergeCell ref="B31:E31"/>
    <mergeCell ref="F14:H14"/>
    <mergeCell ref="B12:E12"/>
    <mergeCell ref="B21:E21"/>
    <mergeCell ref="B48:E48"/>
    <mergeCell ref="B39:E39"/>
    <mergeCell ref="F11:H11"/>
    <mergeCell ref="B14:E14"/>
    <mergeCell ref="F25:H25"/>
    <mergeCell ref="F10:H10"/>
    <mergeCell ref="F16:H16"/>
    <mergeCell ref="B17:E17"/>
    <mergeCell ref="F20:H20"/>
    <mergeCell ref="B1:H1"/>
    <mergeCell ref="B13:E13"/>
    <mergeCell ref="B44:H44"/>
    <mergeCell ref="B38:E38"/>
    <mergeCell ref="B29:E29"/>
    <mergeCell ref="F40:H40"/>
    <mergeCell ref="F12:H12"/>
    <mergeCell ref="F30:H30"/>
    <mergeCell ref="B10:E10"/>
    <mergeCell ref="B28:E28"/>
    <mergeCell ref="B34:H34"/>
    <mergeCell ref="F24:H24"/>
    <mergeCell ref="B2:H2"/>
    <mergeCell ref="B11:E11"/>
    <mergeCell ref="B42:E42"/>
    <mergeCell ref="F29:H2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B1:J68"/>
  <sheetViews>
    <sheetView showGridLines="0" tabSelected="1" topLeftCell="A45" workbookViewId="0">
      <selection activeCell="L8" sqref="L8"/>
    </sheetView>
  </sheetViews>
  <sheetFormatPr defaultRowHeight="13.2" x14ac:dyDescent="0.25"/>
  <cols>
    <col min="1" max="1" width="4" customWidth="1"/>
    <col min="2" max="2" width="30" customWidth="1"/>
    <col min="3" max="3" width="18" customWidth="1"/>
    <col min="4" max="4" width="4" customWidth="1"/>
    <col min="5" max="5" width="16" customWidth="1"/>
    <col min="10" max="10" width="13" hidden="1" customWidth="1"/>
  </cols>
  <sheetData>
    <row r="1" spans="2:10" ht="51.75" customHeight="1" x14ac:dyDescent="0.25">
      <c r="B1" s="184" t="s">
        <v>436</v>
      </c>
      <c r="C1" s="178"/>
      <c r="D1" s="178"/>
      <c r="E1" s="178"/>
      <c r="F1" s="178"/>
      <c r="G1" s="178"/>
      <c r="H1" s="178"/>
      <c r="I1" s="178"/>
      <c r="J1" s="178"/>
    </row>
    <row r="2" spans="2:10" ht="27.75" customHeight="1" x14ac:dyDescent="0.25">
      <c r="B2" s="195" t="s">
        <v>437</v>
      </c>
      <c r="C2" s="178"/>
      <c r="D2" s="178"/>
      <c r="E2" s="178"/>
      <c r="F2" s="178"/>
      <c r="G2" s="178"/>
      <c r="H2" s="178"/>
      <c r="I2" s="178"/>
      <c r="J2" s="178"/>
    </row>
    <row r="3" spans="2:10" ht="22.05" customHeight="1" x14ac:dyDescent="0.25">
      <c r="B3" s="215" t="s">
        <v>438</v>
      </c>
      <c r="C3" s="177"/>
      <c r="D3" s="177"/>
      <c r="E3" s="177"/>
      <c r="F3" s="186"/>
      <c r="G3" s="231">
        <f ca="1">TODAY( )</f>
        <v>46100</v>
      </c>
      <c r="H3" s="177"/>
      <c r="I3" s="177"/>
      <c r="J3" s="186"/>
    </row>
    <row r="4" spans="2:10" ht="21.75" customHeight="1" x14ac:dyDescent="0.25"/>
    <row r="5" spans="2:10" ht="22.05" customHeight="1" x14ac:dyDescent="0.25">
      <c r="B5" s="187" t="s">
        <v>439</v>
      </c>
      <c r="C5" s="178"/>
      <c r="D5" s="178"/>
      <c r="E5" s="178"/>
      <c r="F5" s="178"/>
      <c r="G5" s="178"/>
      <c r="H5" s="178"/>
      <c r="I5" s="178"/>
      <c r="J5" s="178"/>
    </row>
    <row r="6" spans="2:10" ht="40.049999999999997" customHeight="1" x14ac:dyDescent="0.25">
      <c r="B6" s="225" t="s">
        <v>440</v>
      </c>
      <c r="C6" s="178"/>
      <c r="D6" s="178"/>
      <c r="E6" s="178"/>
      <c r="F6" s="225" t="s">
        <v>441</v>
      </c>
      <c r="G6" s="178"/>
      <c r="H6" s="225" t="s">
        <v>442</v>
      </c>
      <c r="I6" s="178"/>
      <c r="J6" s="162" t="s">
        <v>443</v>
      </c>
    </row>
    <row r="7" spans="2:10" ht="22.05" customHeight="1" x14ac:dyDescent="0.25">
      <c r="B7" s="224" t="s">
        <v>444</v>
      </c>
      <c r="C7" s="177"/>
      <c r="D7" s="177"/>
      <c r="E7" s="186"/>
      <c r="F7" s="220">
        <f>Inputs!$B$4</f>
        <v>20</v>
      </c>
      <c r="G7" s="186"/>
      <c r="H7" s="226">
        <f>Inputs!$B$4</f>
        <v>20</v>
      </c>
      <c r="I7" s="186"/>
      <c r="J7" s="163" t="str">
        <f>""</f>
        <v/>
      </c>
    </row>
    <row r="8" spans="2:10" ht="22.05" customHeight="1" x14ac:dyDescent="0.25">
      <c r="B8" s="224" t="s">
        <v>445</v>
      </c>
      <c r="C8" s="177"/>
      <c r="D8" s="177"/>
      <c r="E8" s="186"/>
      <c r="F8" s="220">
        <f>Government_TCO!$B$8</f>
        <v>73.469387755102048</v>
      </c>
      <c r="G8" s="186"/>
      <c r="H8" s="226">
        <f>Vendor_Pricing!$B$5</f>
        <v>51.428571428571431</v>
      </c>
      <c r="I8" s="186"/>
      <c r="J8" s="165">
        <f>F8-H8</f>
        <v>22.040816326530617</v>
      </c>
    </row>
    <row r="9" spans="2:10" ht="22.05" customHeight="1" x14ac:dyDescent="0.25">
      <c r="B9" s="224" t="s">
        <v>446</v>
      </c>
      <c r="C9" s="177"/>
      <c r="D9" s="177"/>
      <c r="E9" s="186"/>
      <c r="F9" s="220">
        <f>F8*1.5</f>
        <v>110.20408163265307</v>
      </c>
      <c r="G9" s="186"/>
      <c r="H9" s="226">
        <f>H8*1.5</f>
        <v>77.142857142857139</v>
      </c>
      <c r="I9" s="186"/>
      <c r="J9" s="165">
        <f>F9-H9</f>
        <v>33.061224489795933</v>
      </c>
    </row>
    <row r="10" spans="2:10" ht="22.05" customHeight="1" x14ac:dyDescent="0.25">
      <c r="B10" s="224" t="s">
        <v>447</v>
      </c>
      <c r="C10" s="177"/>
      <c r="D10" s="177"/>
      <c r="E10" s="186"/>
      <c r="F10" s="220">
        <f>F8*Inputs!$B$5</f>
        <v>106971.42857142858</v>
      </c>
      <c r="G10" s="186"/>
      <c r="H10" s="226">
        <f>H8*Inputs!$B$5</f>
        <v>74880</v>
      </c>
      <c r="I10" s="186"/>
      <c r="J10" s="165">
        <f>F10-H10</f>
        <v>32091.42857142858</v>
      </c>
    </row>
    <row r="11" spans="2:10" ht="22.05" customHeight="1" x14ac:dyDescent="0.25">
      <c r="B11" s="224" t="s">
        <v>448</v>
      </c>
      <c r="C11" s="177"/>
      <c r="D11" s="177"/>
      <c r="E11" s="186"/>
      <c r="F11" s="216">
        <f>Scope_of_Work!$B$13</f>
        <v>964</v>
      </c>
      <c r="G11" s="186"/>
      <c r="H11" s="221">
        <f t="shared" ref="H11:H16" si="0">F11</f>
        <v>964</v>
      </c>
      <c r="I11" s="186"/>
      <c r="J11" s="163" t="str">
        <f>""</f>
        <v/>
      </c>
    </row>
    <row r="12" spans="2:10" ht="22.05" customHeight="1" x14ac:dyDescent="0.25">
      <c r="B12" s="224" t="s">
        <v>449</v>
      </c>
      <c r="C12" s="177"/>
      <c r="D12" s="177"/>
      <c r="E12" s="186"/>
      <c r="F12" s="216">
        <f>ROUND(Scope_of_Work!$B$14/12,0)</f>
        <v>4177</v>
      </c>
      <c r="G12" s="186"/>
      <c r="H12" s="221">
        <f t="shared" si="0"/>
        <v>4177</v>
      </c>
      <c r="I12" s="186"/>
      <c r="J12" s="163" t="str">
        <f>""</f>
        <v/>
      </c>
    </row>
    <row r="13" spans="2:10" ht="22.05" customHeight="1" x14ac:dyDescent="0.25">
      <c r="B13" s="224" t="s">
        <v>450</v>
      </c>
      <c r="C13" s="177"/>
      <c r="D13" s="177"/>
      <c r="E13" s="186"/>
      <c r="F13" s="216">
        <f>Scope_of_Work!$B$14</f>
        <v>50128</v>
      </c>
      <c r="G13" s="186"/>
      <c r="H13" s="221">
        <f t="shared" si="0"/>
        <v>50128</v>
      </c>
      <c r="I13" s="186"/>
      <c r="J13" s="163" t="str">
        <f>""</f>
        <v/>
      </c>
    </row>
    <row r="14" spans="2:10" ht="22.05" customHeight="1" x14ac:dyDescent="0.25">
      <c r="B14" s="224" t="s">
        <v>451</v>
      </c>
      <c r="C14" s="177"/>
      <c r="D14" s="177"/>
      <c r="E14" s="186"/>
      <c r="F14" s="216">
        <f>Scope_of_Work!$B$6</f>
        <v>52</v>
      </c>
      <c r="G14" s="186"/>
      <c r="H14" s="221">
        <f t="shared" si="0"/>
        <v>52</v>
      </c>
      <c r="I14" s="186"/>
      <c r="J14" s="163" t="str">
        <f>""</f>
        <v/>
      </c>
    </row>
    <row r="15" spans="2:10" ht="22.05" customHeight="1" x14ac:dyDescent="0.25">
      <c r="B15" s="224" t="s">
        <v>452</v>
      </c>
      <c r="C15" s="177"/>
      <c r="D15" s="177"/>
      <c r="E15" s="186"/>
      <c r="F15" s="216">
        <f>ROUND(F14/4.3333333333,0)</f>
        <v>12</v>
      </c>
      <c r="G15" s="186"/>
      <c r="H15" s="221">
        <f t="shared" si="0"/>
        <v>12</v>
      </c>
      <c r="I15" s="186"/>
      <c r="J15" s="163" t="str">
        <f>""</f>
        <v/>
      </c>
    </row>
    <row r="16" spans="2:10" ht="22.05" customHeight="1" x14ac:dyDescent="0.25">
      <c r="B16" s="224" t="s">
        <v>453</v>
      </c>
      <c r="C16" s="177"/>
      <c r="D16" s="177"/>
      <c r="E16" s="186"/>
      <c r="F16" s="216">
        <f>Scope_of_Work!$B$15</f>
        <v>34.428571428571431</v>
      </c>
      <c r="G16" s="186"/>
      <c r="H16" s="221">
        <f t="shared" si="0"/>
        <v>34.428571428571431</v>
      </c>
      <c r="I16" s="186"/>
      <c r="J16" s="163" t="str">
        <f>""</f>
        <v/>
      </c>
    </row>
    <row r="17" spans="2:10" ht="24" customHeight="1" x14ac:dyDescent="0.25">
      <c r="B17" s="213" t="s">
        <v>454</v>
      </c>
      <c r="C17" s="177"/>
      <c r="D17" s="177"/>
      <c r="E17" s="186"/>
      <c r="F17" s="228">
        <f>F11*F8</f>
        <v>70824.489795918373</v>
      </c>
      <c r="G17" s="186"/>
      <c r="H17" s="218">
        <f>H11*H8</f>
        <v>49577.142857142862</v>
      </c>
      <c r="I17" s="186"/>
      <c r="J17" s="166">
        <f>F17-H17</f>
        <v>21247.34693877551</v>
      </c>
    </row>
    <row r="18" spans="2:10" ht="24" customHeight="1" x14ac:dyDescent="0.25">
      <c r="B18" s="213" t="s">
        <v>455</v>
      </c>
      <c r="C18" s="177"/>
      <c r="D18" s="177"/>
      <c r="E18" s="186"/>
      <c r="F18" s="228">
        <f>F12*F8</f>
        <v>306881.63265306124</v>
      </c>
      <c r="G18" s="186"/>
      <c r="H18" s="218">
        <f>H12*H8</f>
        <v>214817.14285714287</v>
      </c>
      <c r="I18" s="186"/>
      <c r="J18" s="166">
        <f>F18-H18</f>
        <v>92064.489795918373</v>
      </c>
    </row>
    <row r="19" spans="2:10" ht="24" customHeight="1" x14ac:dyDescent="0.25">
      <c r="B19" s="213" t="s">
        <v>456</v>
      </c>
      <c r="C19" s="177"/>
      <c r="D19" s="177"/>
      <c r="E19" s="186"/>
      <c r="F19" s="228">
        <f>Government_TCO!$B$12</f>
        <v>3682873.4693877553</v>
      </c>
      <c r="G19" s="186"/>
      <c r="H19" s="218">
        <f>Scope_of_Work!$B$14*Vendor_Pricing!$B$5</f>
        <v>2578011.4285714286</v>
      </c>
      <c r="I19" s="186"/>
      <c r="J19" s="166">
        <f>F19-H19</f>
        <v>1104862.0408163266</v>
      </c>
    </row>
    <row r="20" spans="2:10" ht="24" customHeight="1" x14ac:dyDescent="0.25">
      <c r="B20" s="213" t="s">
        <v>457</v>
      </c>
      <c r="C20" s="177"/>
      <c r="D20" s="177"/>
      <c r="E20" s="186"/>
      <c r="F20" s="222" t="str">
        <f>""</f>
        <v/>
      </c>
      <c r="G20" s="186"/>
      <c r="H20" s="218">
        <f>J19</f>
        <v>1104862.0408163266</v>
      </c>
      <c r="I20" s="186"/>
      <c r="J20" s="164" t="str">
        <f>""</f>
        <v/>
      </c>
    </row>
    <row r="21" spans="2:10" ht="24" customHeight="1" x14ac:dyDescent="0.25">
      <c r="B21" s="213" t="s">
        <v>458</v>
      </c>
      <c r="C21" s="177"/>
      <c r="D21" s="177"/>
      <c r="E21" s="186"/>
      <c r="F21" s="222" t="str">
        <f>""</f>
        <v/>
      </c>
      <c r="G21" s="186"/>
      <c r="H21" s="229">
        <f>IFERROR(H20/F19,0)</f>
        <v>0.3</v>
      </c>
      <c r="I21" s="186"/>
      <c r="J21" s="164" t="str">
        <f>""</f>
        <v/>
      </c>
    </row>
    <row r="22" spans="2:10" ht="24" customHeight="1" x14ac:dyDescent="0.25">
      <c r="B22" s="213" t="s">
        <v>459</v>
      </c>
      <c r="C22" s="177"/>
      <c r="D22" s="177"/>
      <c r="E22" s="186"/>
      <c r="F22" s="222" t="str">
        <f>""</f>
        <v/>
      </c>
      <c r="G22" s="186"/>
      <c r="H22" s="223">
        <f>IFERROR(H19/(F19/12),0)</f>
        <v>8.4</v>
      </c>
      <c r="I22" s="186"/>
      <c r="J22" s="164" t="str">
        <f>""</f>
        <v/>
      </c>
    </row>
    <row r="23" spans="2:10" ht="21.75" customHeight="1" x14ac:dyDescent="0.25"/>
    <row r="24" spans="2:10" ht="22.05" customHeight="1" x14ac:dyDescent="0.25">
      <c r="B24" s="187" t="s">
        <v>460</v>
      </c>
      <c r="C24" s="178"/>
      <c r="D24" s="178"/>
      <c r="E24" s="178"/>
      <c r="F24" s="178"/>
      <c r="G24" s="178"/>
      <c r="H24" s="178"/>
      <c r="I24" s="178"/>
      <c r="J24" s="178"/>
    </row>
    <row r="25" spans="2:10" ht="66" customHeight="1" x14ac:dyDescent="0.25">
      <c r="B25" s="219" t="s">
        <v>461</v>
      </c>
      <c r="C25" s="178"/>
      <c r="D25" s="178"/>
      <c r="E25" s="178"/>
      <c r="F25" s="178"/>
      <c r="G25" s="178"/>
      <c r="H25" s="178"/>
      <c r="I25" s="178"/>
      <c r="J25" s="178"/>
    </row>
    <row r="26" spans="2:10" ht="21.75" customHeight="1" x14ac:dyDescent="0.25">
      <c r="B26" s="178"/>
      <c r="C26" s="178"/>
      <c r="D26" s="178"/>
      <c r="E26" s="178"/>
      <c r="F26" s="178"/>
      <c r="G26" s="178"/>
      <c r="H26" s="178"/>
      <c r="I26" s="178"/>
      <c r="J26" s="178"/>
    </row>
    <row r="27" spans="2:10" ht="21.75" customHeight="1" x14ac:dyDescent="0.25">
      <c r="B27" s="178"/>
      <c r="C27" s="178"/>
      <c r="D27" s="178"/>
      <c r="E27" s="178"/>
      <c r="F27" s="178"/>
      <c r="G27" s="178"/>
      <c r="H27" s="178"/>
      <c r="I27" s="178"/>
      <c r="J27" s="178"/>
    </row>
    <row r="28" spans="2:10" ht="21.75" customHeight="1" x14ac:dyDescent="0.25">
      <c r="B28" s="230" t="s">
        <v>462</v>
      </c>
      <c r="C28" s="178"/>
      <c r="D28" s="178"/>
      <c r="E28" s="178"/>
      <c r="F28" s="178"/>
      <c r="G28" s="178"/>
      <c r="H28" s="178"/>
      <c r="I28" s="178"/>
      <c r="J28" s="178"/>
    </row>
    <row r="29" spans="2:10" ht="21.75" customHeight="1" x14ac:dyDescent="0.25">
      <c r="B29" s="227" t="s">
        <v>463</v>
      </c>
      <c r="C29" s="178"/>
      <c r="D29" s="178"/>
      <c r="E29" s="178"/>
      <c r="F29" s="178"/>
      <c r="G29" s="178"/>
      <c r="H29" s="178"/>
      <c r="I29" s="178"/>
      <c r="J29" s="178"/>
    </row>
    <row r="30" spans="2:10" ht="22.05" customHeight="1" x14ac:dyDescent="0.25">
      <c r="B30" s="187" t="s">
        <v>464</v>
      </c>
      <c r="C30" s="178"/>
      <c r="D30" s="178"/>
      <c r="E30" s="178"/>
      <c r="F30" s="178"/>
      <c r="G30" s="178"/>
      <c r="H30" s="178"/>
      <c r="I30" s="178"/>
      <c r="J30" s="178"/>
    </row>
    <row r="31" spans="2:10" ht="21.75" customHeight="1" x14ac:dyDescent="0.25">
      <c r="B31" s="214" t="s">
        <v>465</v>
      </c>
      <c r="C31" s="177"/>
      <c r="D31" s="177"/>
      <c r="E31" s="177"/>
      <c r="F31" s="177"/>
      <c r="G31" s="177"/>
      <c r="H31" s="177"/>
      <c r="I31" s="177"/>
      <c r="J31" s="186"/>
    </row>
    <row r="32" spans="2:10" ht="21.75" customHeight="1" x14ac:dyDescent="0.25">
      <c r="B32" s="217" t="s">
        <v>466</v>
      </c>
      <c r="C32" s="178"/>
      <c r="D32" s="178"/>
      <c r="E32" s="178"/>
      <c r="F32" s="178"/>
      <c r="G32" s="178"/>
      <c r="H32" s="178"/>
      <c r="I32" s="178"/>
      <c r="J32" s="178"/>
    </row>
    <row r="33" spans="2:10" ht="21.75" customHeight="1" x14ac:dyDescent="0.25">
      <c r="B33" s="217" t="s">
        <v>467</v>
      </c>
      <c r="C33" s="178"/>
      <c r="D33" s="178"/>
      <c r="E33" s="178"/>
      <c r="F33" s="178"/>
      <c r="G33" s="178"/>
      <c r="H33" s="178"/>
      <c r="I33" s="178"/>
      <c r="J33" s="178"/>
    </row>
    <row r="34" spans="2:10" ht="21.75" customHeight="1" x14ac:dyDescent="0.25">
      <c r="B34" s="217" t="s">
        <v>468</v>
      </c>
      <c r="C34" s="178"/>
      <c r="D34" s="178"/>
      <c r="E34" s="178"/>
      <c r="F34" s="178"/>
      <c r="G34" s="178"/>
      <c r="H34" s="178"/>
      <c r="I34" s="178"/>
      <c r="J34" s="178"/>
    </row>
    <row r="35" spans="2:10" ht="21.75" customHeight="1" x14ac:dyDescent="0.25">
      <c r="B35" s="214" t="s">
        <v>469</v>
      </c>
      <c r="C35" s="177"/>
      <c r="D35" s="177"/>
      <c r="E35" s="177"/>
      <c r="F35" s="177"/>
      <c r="G35" s="177"/>
      <c r="H35" s="177"/>
      <c r="I35" s="177"/>
      <c r="J35" s="186"/>
    </row>
    <row r="36" spans="2:10" ht="21.75" customHeight="1" x14ac:dyDescent="0.25">
      <c r="B36" s="217" t="s">
        <v>470</v>
      </c>
      <c r="C36" s="178"/>
      <c r="D36" s="178"/>
      <c r="E36" s="178"/>
      <c r="F36" s="178"/>
      <c r="G36" s="178"/>
      <c r="H36" s="178"/>
      <c r="I36" s="178"/>
      <c r="J36" s="178"/>
    </row>
    <row r="37" spans="2:10" ht="21.75" customHeight="1" x14ac:dyDescent="0.25">
      <c r="B37" s="217" t="s">
        <v>471</v>
      </c>
      <c r="C37" s="178"/>
      <c r="D37" s="178"/>
      <c r="E37" s="178"/>
      <c r="F37" s="178"/>
      <c r="G37" s="178"/>
      <c r="H37" s="178"/>
      <c r="I37" s="178"/>
      <c r="J37" s="178"/>
    </row>
    <row r="38" spans="2:10" ht="21.75" customHeight="1" x14ac:dyDescent="0.25">
      <c r="B38" s="217" t="s">
        <v>472</v>
      </c>
      <c r="C38" s="178"/>
      <c r="D38" s="178"/>
      <c r="E38" s="178"/>
      <c r="F38" s="178"/>
      <c r="G38" s="178"/>
      <c r="H38" s="178"/>
      <c r="I38" s="178"/>
      <c r="J38" s="178"/>
    </row>
    <row r="39" spans="2:10" ht="21.75" customHeight="1" x14ac:dyDescent="0.25">
      <c r="B39" s="217" t="s">
        <v>473</v>
      </c>
      <c r="C39" s="178"/>
      <c r="D39" s="178"/>
      <c r="E39" s="178"/>
      <c r="F39" s="178"/>
      <c r="G39" s="178"/>
      <c r="H39" s="178"/>
      <c r="I39" s="178"/>
      <c r="J39" s="178"/>
    </row>
    <row r="40" spans="2:10" ht="21.75" customHeight="1" x14ac:dyDescent="0.25">
      <c r="B40" s="214" t="s">
        <v>474</v>
      </c>
      <c r="C40" s="177"/>
      <c r="D40" s="177"/>
      <c r="E40" s="177"/>
      <c r="F40" s="177"/>
      <c r="G40" s="177"/>
      <c r="H40" s="177"/>
      <c r="I40" s="177"/>
      <c r="J40" s="186"/>
    </row>
    <row r="41" spans="2:10" ht="21.75" customHeight="1" x14ac:dyDescent="0.25">
      <c r="B41" s="217" t="s">
        <v>475</v>
      </c>
      <c r="C41" s="178"/>
      <c r="D41" s="178"/>
      <c r="E41" s="178"/>
      <c r="F41" s="178"/>
      <c r="G41" s="178"/>
      <c r="H41" s="178"/>
      <c r="I41" s="178"/>
      <c r="J41" s="178"/>
    </row>
    <row r="42" spans="2:10" ht="21.75" customHeight="1" x14ac:dyDescent="0.25">
      <c r="B42" s="217" t="s">
        <v>476</v>
      </c>
      <c r="C42" s="178"/>
      <c r="D42" s="178"/>
      <c r="E42" s="178"/>
      <c r="F42" s="178"/>
      <c r="G42" s="178"/>
      <c r="H42" s="178"/>
      <c r="I42" s="178"/>
      <c r="J42" s="178"/>
    </row>
    <row r="43" spans="2:10" ht="21.75" customHeight="1" x14ac:dyDescent="0.25">
      <c r="B43" s="217" t="s">
        <v>477</v>
      </c>
      <c r="C43" s="178"/>
      <c r="D43" s="178"/>
      <c r="E43" s="178"/>
      <c r="F43" s="178"/>
      <c r="G43" s="178"/>
      <c r="H43" s="178"/>
      <c r="I43" s="178"/>
      <c r="J43" s="178"/>
    </row>
    <row r="44" spans="2:10" ht="21.75" customHeight="1" x14ac:dyDescent="0.25">
      <c r="B44" s="217" t="s">
        <v>478</v>
      </c>
      <c r="C44" s="178"/>
      <c r="D44" s="178"/>
      <c r="E44" s="178"/>
      <c r="F44" s="178"/>
      <c r="G44" s="178"/>
      <c r="H44" s="178"/>
      <c r="I44" s="178"/>
      <c r="J44" s="178"/>
    </row>
    <row r="45" spans="2:10" ht="21.75" customHeight="1" x14ac:dyDescent="0.25">
      <c r="B45" s="217" t="s">
        <v>479</v>
      </c>
      <c r="C45" s="178"/>
      <c r="D45" s="178"/>
      <c r="E45" s="178"/>
      <c r="F45" s="178"/>
      <c r="G45" s="178"/>
      <c r="H45" s="178"/>
      <c r="I45" s="178"/>
      <c r="J45" s="178"/>
    </row>
    <row r="46" spans="2:10" ht="21.75" customHeight="1" x14ac:dyDescent="0.25">
      <c r="B46" s="214" t="s">
        <v>480</v>
      </c>
      <c r="C46" s="177"/>
      <c r="D46" s="177"/>
      <c r="E46" s="177"/>
      <c r="F46" s="177"/>
      <c r="G46" s="177"/>
      <c r="H46" s="177"/>
      <c r="I46" s="177"/>
      <c r="J46" s="186"/>
    </row>
    <row r="47" spans="2:10" ht="21.75" customHeight="1" x14ac:dyDescent="0.25">
      <c r="B47" s="217" t="s">
        <v>481</v>
      </c>
      <c r="C47" s="178"/>
      <c r="D47" s="178"/>
      <c r="E47" s="178"/>
      <c r="F47" s="178"/>
      <c r="G47" s="178"/>
      <c r="H47" s="178"/>
      <c r="I47" s="178"/>
      <c r="J47" s="178"/>
    </row>
    <row r="48" spans="2:10" ht="21.75" customHeight="1" x14ac:dyDescent="0.25">
      <c r="B48" s="217" t="s">
        <v>482</v>
      </c>
      <c r="C48" s="178"/>
      <c r="D48" s="178"/>
      <c r="E48" s="178"/>
      <c r="F48" s="178"/>
      <c r="G48" s="178"/>
      <c r="H48" s="178"/>
      <c r="I48" s="178"/>
      <c r="J48" s="178"/>
    </row>
    <row r="49" spans="2:10" ht="21.75" customHeight="1" x14ac:dyDescent="0.25">
      <c r="B49" s="217" t="s">
        <v>483</v>
      </c>
      <c r="C49" s="178"/>
      <c r="D49" s="178"/>
      <c r="E49" s="178"/>
      <c r="F49" s="178"/>
      <c r="G49" s="178"/>
      <c r="H49" s="178"/>
      <c r="I49" s="178"/>
      <c r="J49" s="178"/>
    </row>
    <row r="50" spans="2:10" ht="21.75" customHeight="1" x14ac:dyDescent="0.25">
      <c r="B50" s="214" t="s">
        <v>484</v>
      </c>
      <c r="C50" s="177"/>
      <c r="D50" s="177"/>
      <c r="E50" s="177"/>
      <c r="F50" s="177"/>
      <c r="G50" s="177"/>
      <c r="H50" s="177"/>
      <c r="I50" s="177"/>
      <c r="J50" s="186"/>
    </row>
    <row r="51" spans="2:10" ht="21.75" customHeight="1" x14ac:dyDescent="0.25">
      <c r="B51" s="217" t="s">
        <v>485</v>
      </c>
      <c r="C51" s="178"/>
      <c r="D51" s="178"/>
      <c r="E51" s="178"/>
      <c r="F51" s="178"/>
      <c r="G51" s="178"/>
      <c r="H51" s="178"/>
      <c r="I51" s="178"/>
      <c r="J51" s="178"/>
    </row>
    <row r="52" spans="2:10" ht="21.75" customHeight="1" x14ac:dyDescent="0.25">
      <c r="B52" s="217" t="s">
        <v>486</v>
      </c>
      <c r="C52" s="178"/>
      <c r="D52" s="178"/>
      <c r="E52" s="178"/>
      <c r="F52" s="178"/>
      <c r="G52" s="178"/>
      <c r="H52" s="178"/>
      <c r="I52" s="178"/>
      <c r="J52" s="178"/>
    </row>
    <row r="53" spans="2:10" ht="21.75" customHeight="1" x14ac:dyDescent="0.25">
      <c r="B53" s="217" t="s">
        <v>487</v>
      </c>
      <c r="C53" s="178"/>
      <c r="D53" s="178"/>
      <c r="E53" s="178"/>
      <c r="F53" s="178"/>
      <c r="G53" s="178"/>
      <c r="H53" s="178"/>
      <c r="I53" s="178"/>
      <c r="J53" s="178"/>
    </row>
    <row r="54" spans="2:10" ht="21.75" customHeight="1" x14ac:dyDescent="0.25">
      <c r="B54" s="214" t="s">
        <v>488</v>
      </c>
      <c r="C54" s="177"/>
      <c r="D54" s="177"/>
      <c r="E54" s="177"/>
      <c r="F54" s="177"/>
      <c r="G54" s="177"/>
      <c r="H54" s="177"/>
      <c r="I54" s="177"/>
      <c r="J54" s="186"/>
    </row>
    <row r="55" spans="2:10" ht="21.75" customHeight="1" x14ac:dyDescent="0.25">
      <c r="B55" s="217" t="s">
        <v>489</v>
      </c>
      <c r="C55" s="178"/>
      <c r="D55" s="178"/>
      <c r="E55" s="178"/>
      <c r="F55" s="178"/>
      <c r="G55" s="178"/>
      <c r="H55" s="178"/>
      <c r="I55" s="178"/>
      <c r="J55" s="178"/>
    </row>
    <row r="56" spans="2:10" ht="21.75" customHeight="1" x14ac:dyDescent="0.25">
      <c r="B56" s="217" t="s">
        <v>490</v>
      </c>
      <c r="C56" s="178"/>
      <c r="D56" s="178"/>
      <c r="E56" s="178"/>
      <c r="F56" s="178"/>
      <c r="G56" s="178"/>
      <c r="H56" s="178"/>
      <c r="I56" s="178"/>
      <c r="J56" s="178"/>
    </row>
    <row r="57" spans="2:10" ht="21.75" customHeight="1" x14ac:dyDescent="0.25">
      <c r="B57" s="217" t="s">
        <v>491</v>
      </c>
      <c r="C57" s="178"/>
      <c r="D57" s="178"/>
      <c r="E57" s="178"/>
      <c r="F57" s="178"/>
      <c r="G57" s="178"/>
      <c r="H57" s="178"/>
      <c r="I57" s="178"/>
      <c r="J57" s="178"/>
    </row>
    <row r="58" spans="2:10" ht="21.75" customHeight="1" x14ac:dyDescent="0.25">
      <c r="B58" s="217" t="s">
        <v>492</v>
      </c>
      <c r="C58" s="178"/>
      <c r="D58" s="178"/>
      <c r="E58" s="178"/>
      <c r="F58" s="178"/>
      <c r="G58" s="178"/>
      <c r="H58" s="178"/>
      <c r="I58" s="178"/>
      <c r="J58" s="178"/>
    </row>
    <row r="59" spans="2:10" ht="21.75" customHeight="1" x14ac:dyDescent="0.25">
      <c r="B59" s="214" t="s">
        <v>493</v>
      </c>
      <c r="C59" s="177"/>
      <c r="D59" s="177"/>
      <c r="E59" s="177"/>
      <c r="F59" s="177"/>
      <c r="G59" s="177"/>
      <c r="H59" s="177"/>
      <c r="I59" s="177"/>
      <c r="J59" s="186"/>
    </row>
    <row r="60" spans="2:10" x14ac:dyDescent="0.25">
      <c r="B60" s="217" t="s">
        <v>494</v>
      </c>
      <c r="C60" s="178"/>
      <c r="D60" s="178"/>
      <c r="E60" s="178"/>
      <c r="F60" s="178"/>
      <c r="G60" s="178"/>
      <c r="H60" s="178"/>
      <c r="I60" s="178"/>
      <c r="J60" s="178"/>
    </row>
    <row r="61" spans="2:10" x14ac:dyDescent="0.25">
      <c r="B61" s="217" t="s">
        <v>495</v>
      </c>
      <c r="C61" s="178"/>
      <c r="D61" s="178"/>
      <c r="E61" s="178"/>
      <c r="F61" s="178"/>
      <c r="G61" s="178"/>
      <c r="H61" s="178"/>
      <c r="I61" s="178"/>
      <c r="J61" s="178"/>
    </row>
    <row r="63" spans="2:10" ht="22.05" customHeight="1" x14ac:dyDescent="0.25">
      <c r="B63" s="187" t="s">
        <v>496</v>
      </c>
      <c r="C63" s="178"/>
      <c r="D63" s="178"/>
      <c r="E63" s="178"/>
      <c r="F63" s="178"/>
      <c r="G63" s="178"/>
      <c r="H63" s="178"/>
      <c r="I63" s="178"/>
      <c r="J63" s="178"/>
    </row>
    <row r="64" spans="2:10" ht="14.4" x14ac:dyDescent="0.25">
      <c r="B64" s="215" t="s">
        <v>497</v>
      </c>
      <c r="C64" s="177"/>
      <c r="D64" s="186"/>
      <c r="E64" s="210"/>
      <c r="F64" s="211"/>
      <c r="G64" s="211"/>
      <c r="H64" s="211"/>
      <c r="I64" s="211"/>
      <c r="J64" s="212"/>
    </row>
    <row r="65" spans="2:10" ht="14.4" x14ac:dyDescent="0.25">
      <c r="B65" s="215" t="s">
        <v>498</v>
      </c>
      <c r="C65" s="177"/>
      <c r="D65" s="186"/>
      <c r="E65" s="210"/>
      <c r="F65" s="211"/>
      <c r="G65" s="211"/>
      <c r="H65" s="211"/>
      <c r="I65" s="211"/>
      <c r="J65" s="212"/>
    </row>
    <row r="66" spans="2:10" ht="14.4" x14ac:dyDescent="0.25">
      <c r="B66" s="215" t="s">
        <v>499</v>
      </c>
      <c r="C66" s="177"/>
      <c r="D66" s="186"/>
      <c r="E66" s="210"/>
      <c r="F66" s="211"/>
      <c r="G66" s="211"/>
      <c r="H66" s="211"/>
      <c r="I66" s="211"/>
      <c r="J66" s="212"/>
    </row>
    <row r="67" spans="2:10" ht="14.4" x14ac:dyDescent="0.25">
      <c r="B67" s="215" t="s">
        <v>500</v>
      </c>
      <c r="C67" s="177"/>
      <c r="D67" s="186"/>
      <c r="E67" s="210"/>
      <c r="F67" s="211"/>
      <c r="G67" s="211"/>
      <c r="H67" s="211"/>
      <c r="I67" s="211"/>
      <c r="J67" s="212"/>
    </row>
    <row r="68" spans="2:10" ht="14.4" x14ac:dyDescent="0.25">
      <c r="B68" s="215" t="s">
        <v>501</v>
      </c>
      <c r="C68" s="177"/>
      <c r="D68" s="186"/>
      <c r="E68" s="210"/>
      <c r="F68" s="211"/>
      <c r="G68" s="211"/>
      <c r="H68" s="211"/>
      <c r="I68" s="211"/>
      <c r="J68" s="212"/>
    </row>
  </sheetData>
  <mergeCells count="103">
    <mergeCell ref="B1:J1"/>
    <mergeCell ref="H9:I9"/>
    <mergeCell ref="B38:J38"/>
    <mergeCell ref="F15:G15"/>
    <mergeCell ref="B40:J40"/>
    <mergeCell ref="B49:J49"/>
    <mergeCell ref="B55:J55"/>
    <mergeCell ref="B22:E22"/>
    <mergeCell ref="B24:J24"/>
    <mergeCell ref="B33:J33"/>
    <mergeCell ref="B51:J51"/>
    <mergeCell ref="B12:E12"/>
    <mergeCell ref="B21:E21"/>
    <mergeCell ref="B32:J32"/>
    <mergeCell ref="F13:G13"/>
    <mergeCell ref="H13:I13"/>
    <mergeCell ref="B14:E14"/>
    <mergeCell ref="B13:E13"/>
    <mergeCell ref="H15:I15"/>
    <mergeCell ref="B2:J2"/>
    <mergeCell ref="F10:G10"/>
    <mergeCell ref="F19:G19"/>
    <mergeCell ref="F6:G6"/>
    <mergeCell ref="H11:I11"/>
    <mergeCell ref="B11:E11"/>
    <mergeCell ref="F9:G9"/>
    <mergeCell ref="H12:I12"/>
    <mergeCell ref="H14:I14"/>
    <mergeCell ref="B6:E6"/>
    <mergeCell ref="B15:E15"/>
    <mergeCell ref="F7:G7"/>
    <mergeCell ref="B7:E7"/>
    <mergeCell ref="G3:J3"/>
    <mergeCell ref="F16:G16"/>
    <mergeCell ref="H10:I10"/>
    <mergeCell ref="B3:F3"/>
    <mergeCell ref="H19:I19"/>
    <mergeCell ref="B54:J54"/>
    <mergeCell ref="B56:J56"/>
    <mergeCell ref="B43:J43"/>
    <mergeCell ref="B58:J58"/>
    <mergeCell ref="E64:J64"/>
    <mergeCell ref="B52:J52"/>
    <mergeCell ref="B42:J42"/>
    <mergeCell ref="B60:J60"/>
    <mergeCell ref="B57:J57"/>
    <mergeCell ref="B44:J44"/>
    <mergeCell ref="F21:G21"/>
    <mergeCell ref="H21:I21"/>
    <mergeCell ref="B63:J63"/>
    <mergeCell ref="B41:J41"/>
    <mergeCell ref="B35:J35"/>
    <mergeCell ref="B34:J34"/>
    <mergeCell ref="B28:J28"/>
    <mergeCell ref="B61:J61"/>
    <mergeCell ref="F8:G8"/>
    <mergeCell ref="B5:J5"/>
    <mergeCell ref="H16:I16"/>
    <mergeCell ref="B45:J45"/>
    <mergeCell ref="E66:J66"/>
    <mergeCell ref="F22:G22"/>
    <mergeCell ref="H22:I22"/>
    <mergeCell ref="B47:J47"/>
    <mergeCell ref="B9:E9"/>
    <mergeCell ref="F11:G11"/>
    <mergeCell ref="F12:G12"/>
    <mergeCell ref="H6:I6"/>
    <mergeCell ref="H7:I7"/>
    <mergeCell ref="B8:E8"/>
    <mergeCell ref="H8:I8"/>
    <mergeCell ref="B10:E10"/>
    <mergeCell ref="E65:J65"/>
    <mergeCell ref="B53:J53"/>
    <mergeCell ref="B29:J29"/>
    <mergeCell ref="B37:J37"/>
    <mergeCell ref="F20:G20"/>
    <mergeCell ref="B16:E16"/>
    <mergeCell ref="F18:G18"/>
    <mergeCell ref="F17:G17"/>
    <mergeCell ref="E68:J68"/>
    <mergeCell ref="B17:E17"/>
    <mergeCell ref="B59:J59"/>
    <mergeCell ref="B66:D66"/>
    <mergeCell ref="B46:J46"/>
    <mergeCell ref="E67:J67"/>
    <mergeCell ref="F14:G14"/>
    <mergeCell ref="B19:E19"/>
    <mergeCell ref="B39:J39"/>
    <mergeCell ref="B48:J48"/>
    <mergeCell ref="H20:I20"/>
    <mergeCell ref="B67:D67"/>
    <mergeCell ref="B20:E20"/>
    <mergeCell ref="B64:D64"/>
    <mergeCell ref="B36:J36"/>
    <mergeCell ref="B50:J50"/>
    <mergeCell ref="B25:J27"/>
    <mergeCell ref="H18:I18"/>
    <mergeCell ref="B31:J31"/>
    <mergeCell ref="B65:D65"/>
    <mergeCell ref="B30:J30"/>
    <mergeCell ref="B68:D68"/>
    <mergeCell ref="H17:I17"/>
    <mergeCell ref="B18:E18"/>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9"/>
  <sheetViews>
    <sheetView workbookViewId="0"/>
  </sheetViews>
  <sheetFormatPr defaultColWidth="8.6640625" defaultRowHeight="13.2" x14ac:dyDescent="0.25"/>
  <cols>
    <col min="1" max="1" width="20.6640625" customWidth="1"/>
    <col min="2" max="2" width="8" customWidth="1"/>
    <col min="3" max="3" width="14.77734375" customWidth="1"/>
    <col min="4" max="4" width="21.5546875" customWidth="1"/>
    <col min="5" max="5" width="18.6640625" customWidth="1"/>
    <col min="6" max="6" width="15.44140625" customWidth="1"/>
    <col min="7" max="7" width="16.109375" customWidth="1"/>
    <col min="8" max="8" width="16.77734375" customWidth="1"/>
    <col min="9" max="9" width="16.33203125" customWidth="1"/>
    <col min="10" max="10" width="18.5546875" customWidth="1"/>
  </cols>
  <sheetData>
    <row r="1" spans="1:10" ht="12.75" customHeight="1" x14ac:dyDescent="0.3">
      <c r="A1" s="160" t="s">
        <v>502</v>
      </c>
      <c r="B1" s="160" t="s">
        <v>503</v>
      </c>
      <c r="C1" s="160" t="s">
        <v>504</v>
      </c>
      <c r="D1" s="160" t="s">
        <v>505</v>
      </c>
      <c r="E1" s="160" t="s">
        <v>506</v>
      </c>
      <c r="F1" s="160" t="s">
        <v>507</v>
      </c>
      <c r="G1" s="160" t="s">
        <v>508</v>
      </c>
      <c r="H1" s="160" t="s">
        <v>509</v>
      </c>
      <c r="I1" s="160" t="s">
        <v>510</v>
      </c>
      <c r="J1" s="160" t="s">
        <v>511</v>
      </c>
    </row>
    <row r="2" spans="1:10" ht="12.75" customHeight="1" x14ac:dyDescent="0.3">
      <c r="A2" s="156" t="s">
        <v>512</v>
      </c>
      <c r="B2" s="156">
        <v>8</v>
      </c>
      <c r="C2" s="157">
        <v>21</v>
      </c>
      <c r="D2" s="157">
        <f t="shared" ref="D2:D8" si="0">C2/0.7</f>
        <v>30.000000000000004</v>
      </c>
      <c r="E2" s="156">
        <f>IFERROR(ROUNDUP(Post_Positions!$E$22/28,0),"")</f>
        <v>35</v>
      </c>
      <c r="F2" s="157">
        <v>200</v>
      </c>
      <c r="G2" s="157">
        <v>600</v>
      </c>
      <c r="H2" s="157">
        <v>0</v>
      </c>
      <c r="I2" s="157">
        <v>0</v>
      </c>
      <c r="J2" s="157">
        <f t="shared" ref="J2:J8" si="1">B2*D2*E2+F2+G2+H2+I2</f>
        <v>9200.0000000000018</v>
      </c>
    </row>
    <row r="3" spans="1:10" ht="12.75" customHeight="1" x14ac:dyDescent="0.3">
      <c r="A3" s="156" t="s">
        <v>513</v>
      </c>
      <c r="B3" s="156">
        <v>16</v>
      </c>
      <c r="C3" s="157">
        <v>21</v>
      </c>
      <c r="D3" s="157">
        <f t="shared" si="0"/>
        <v>30.000000000000004</v>
      </c>
      <c r="E3" s="156">
        <f>IFERROR(ROUNDUP(Post_Positions!$E$22/28,0),"")</f>
        <v>35</v>
      </c>
      <c r="F3" s="157">
        <v>0</v>
      </c>
      <c r="G3" s="157">
        <v>0</v>
      </c>
      <c r="H3" s="157">
        <v>0</v>
      </c>
      <c r="I3" s="157">
        <v>0</v>
      </c>
      <c r="J3" s="157">
        <f t="shared" si="1"/>
        <v>16800.000000000004</v>
      </c>
    </row>
    <row r="4" spans="1:10" ht="12.75" customHeight="1" x14ac:dyDescent="0.3">
      <c r="A4" s="156" t="s">
        <v>514</v>
      </c>
      <c r="B4" s="156">
        <v>40</v>
      </c>
      <c r="C4" s="157">
        <v>21</v>
      </c>
      <c r="D4" s="157">
        <f t="shared" si="0"/>
        <v>30.000000000000004</v>
      </c>
      <c r="E4" s="156">
        <f>IFERROR(ROUNDUP(Post_Positions!$E$22/28,0),"")</f>
        <v>35</v>
      </c>
      <c r="F4" s="157">
        <v>0</v>
      </c>
      <c r="G4" s="157">
        <v>0</v>
      </c>
      <c r="H4" s="157">
        <v>0</v>
      </c>
      <c r="I4" s="157">
        <v>0</v>
      </c>
      <c r="J4" s="157">
        <f t="shared" si="1"/>
        <v>42000.000000000007</v>
      </c>
    </row>
    <row r="5" spans="1:10" ht="12.75" customHeight="1" x14ac:dyDescent="0.3">
      <c r="A5" s="156" t="s">
        <v>515</v>
      </c>
      <c r="B5" s="156">
        <v>8</v>
      </c>
      <c r="C5" s="157">
        <v>21</v>
      </c>
      <c r="D5" s="157">
        <f t="shared" si="0"/>
        <v>30.000000000000004</v>
      </c>
      <c r="E5" s="156">
        <f>IFERROR(ROUNDUP(Post_Positions!$E$22/28,0),"")</f>
        <v>35</v>
      </c>
      <c r="F5" s="157">
        <v>0</v>
      </c>
      <c r="G5" s="157">
        <v>0</v>
      </c>
      <c r="H5" s="157">
        <v>0</v>
      </c>
      <c r="I5" s="157">
        <v>0</v>
      </c>
      <c r="J5" s="157">
        <f t="shared" si="1"/>
        <v>8400.0000000000018</v>
      </c>
    </row>
    <row r="6" spans="1:10" ht="12.75" customHeight="1" x14ac:dyDescent="0.3">
      <c r="A6" s="156" t="s">
        <v>516</v>
      </c>
      <c r="B6" s="156">
        <v>8</v>
      </c>
      <c r="C6" s="157">
        <v>21</v>
      </c>
      <c r="D6" s="157">
        <f t="shared" si="0"/>
        <v>30.000000000000004</v>
      </c>
      <c r="E6" s="156">
        <f>IFERROR(ROUNDUP(Post_Positions!$E$22/28,0),"")</f>
        <v>35</v>
      </c>
      <c r="F6" s="157">
        <v>0</v>
      </c>
      <c r="G6" s="157">
        <v>0</v>
      </c>
      <c r="H6" s="157">
        <v>0</v>
      </c>
      <c r="I6" s="157">
        <v>0</v>
      </c>
      <c r="J6" s="157">
        <f t="shared" si="1"/>
        <v>8400.0000000000018</v>
      </c>
    </row>
    <row r="7" spans="1:10" ht="12.75" customHeight="1" x14ac:dyDescent="0.3">
      <c r="A7" s="156" t="s">
        <v>517</v>
      </c>
      <c r="B7" s="156">
        <v>12</v>
      </c>
      <c r="C7" s="157">
        <v>25</v>
      </c>
      <c r="D7" s="157">
        <f t="shared" si="0"/>
        <v>35.714285714285715</v>
      </c>
      <c r="E7" s="156">
        <f>IFERROR(ROUNDUP(Post_Positions!$E$22/28,0),"")</f>
        <v>35</v>
      </c>
      <c r="F7" s="157">
        <v>0</v>
      </c>
      <c r="G7" s="157">
        <v>0</v>
      </c>
      <c r="H7" s="157">
        <v>0</v>
      </c>
      <c r="I7" s="157">
        <v>0</v>
      </c>
      <c r="J7" s="157">
        <f t="shared" si="1"/>
        <v>15000</v>
      </c>
    </row>
    <row r="8" spans="1:10" ht="12.75" customHeight="1" x14ac:dyDescent="0.3">
      <c r="A8" s="156" t="s">
        <v>518</v>
      </c>
      <c r="B8" s="156">
        <v>8</v>
      </c>
      <c r="C8" s="157">
        <v>21</v>
      </c>
      <c r="D8" s="157">
        <f t="shared" si="0"/>
        <v>30.000000000000004</v>
      </c>
      <c r="E8" s="156">
        <f>IFERROR(ROUNDUP(Post_Positions!$E$22/28,0),"")</f>
        <v>35</v>
      </c>
      <c r="F8" s="157">
        <v>0</v>
      </c>
      <c r="G8" s="157">
        <v>0</v>
      </c>
      <c r="H8" s="157">
        <v>0</v>
      </c>
      <c r="I8" s="157">
        <v>0</v>
      </c>
      <c r="J8" s="157">
        <f t="shared" si="1"/>
        <v>8400.0000000000018</v>
      </c>
    </row>
    <row r="9" spans="1:10" ht="12.75" customHeight="1" x14ac:dyDescent="0.3">
      <c r="A9" s="156"/>
      <c r="B9" s="156"/>
      <c r="C9" s="156"/>
      <c r="D9" s="156"/>
      <c r="E9" s="156"/>
      <c r="F9" s="156"/>
      <c r="G9" s="156"/>
      <c r="H9" s="156"/>
      <c r="I9" s="156" t="s">
        <v>511</v>
      </c>
      <c r="J9" s="157">
        <f>SUM(J2:J8)</f>
        <v>108200.00000000001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7"/>
  <sheetViews>
    <sheetView workbookViewId="0"/>
  </sheetViews>
  <sheetFormatPr defaultColWidth="8.6640625" defaultRowHeight="13.2" x14ac:dyDescent="0.25"/>
  <cols>
    <col min="1" max="1" width="10.77734375" customWidth="1"/>
    <col min="2" max="2" width="14" customWidth="1"/>
    <col min="3" max="3" width="9.88671875" customWidth="1"/>
    <col min="4" max="4" width="25.88671875" customWidth="1"/>
    <col min="5" max="5" width="16.44140625" customWidth="1"/>
  </cols>
  <sheetData>
    <row r="1" spans="1:5" ht="12.75" customHeight="1" x14ac:dyDescent="0.25">
      <c r="A1" s="159" t="s">
        <v>519</v>
      </c>
      <c r="B1" s="159" t="s">
        <v>520</v>
      </c>
      <c r="C1" s="159" t="s">
        <v>521</v>
      </c>
      <c r="D1" s="159" t="s">
        <v>522</v>
      </c>
      <c r="E1" s="159" t="s">
        <v>523</v>
      </c>
    </row>
    <row r="2" spans="1:5" ht="12.75" customHeight="1" x14ac:dyDescent="0.25">
      <c r="A2" s="155" t="s">
        <v>524</v>
      </c>
      <c r="B2" s="157">
        <v>250</v>
      </c>
      <c r="C2" s="155">
        <v>25</v>
      </c>
      <c r="D2" s="155">
        <v>1</v>
      </c>
      <c r="E2" s="157">
        <f>B2*C2/D2</f>
        <v>6250</v>
      </c>
    </row>
    <row r="3" spans="1:5" ht="12.75" customHeight="1" x14ac:dyDescent="0.25">
      <c r="A3" s="155" t="s">
        <v>525</v>
      </c>
      <c r="B3" s="157">
        <v>600</v>
      </c>
      <c r="C3" s="155">
        <v>25</v>
      </c>
      <c r="D3" s="155">
        <v>3</v>
      </c>
      <c r="E3" s="157">
        <f>B3*C3/D3</f>
        <v>5000</v>
      </c>
    </row>
    <row r="4" spans="1:5" ht="12.75" customHeight="1" x14ac:dyDescent="0.25">
      <c r="A4" s="155" t="s">
        <v>526</v>
      </c>
      <c r="B4" s="157">
        <v>800</v>
      </c>
      <c r="C4" s="155">
        <v>10</v>
      </c>
      <c r="D4" s="155">
        <v>5</v>
      </c>
      <c r="E4" s="157">
        <f>B4*C4/D4</f>
        <v>1600</v>
      </c>
    </row>
    <row r="5" spans="1:5" ht="12.75" customHeight="1" x14ac:dyDescent="0.25">
      <c r="A5" s="155" t="s">
        <v>527</v>
      </c>
      <c r="B5" s="157">
        <v>75</v>
      </c>
      <c r="C5" s="155">
        <v>25</v>
      </c>
      <c r="D5" s="155">
        <v>2</v>
      </c>
      <c r="E5" s="157">
        <f>B5*C5/D5</f>
        <v>937.5</v>
      </c>
    </row>
    <row r="6" spans="1:5" ht="12.75" customHeight="1" x14ac:dyDescent="0.25">
      <c r="A6" s="155" t="s">
        <v>528</v>
      </c>
      <c r="B6" s="157">
        <v>150</v>
      </c>
      <c r="C6" s="155">
        <v>25</v>
      </c>
      <c r="D6" s="155">
        <v>3</v>
      </c>
      <c r="E6" s="157">
        <f>B6*C6/D6</f>
        <v>1250</v>
      </c>
    </row>
    <row r="7" spans="1:5" ht="12.75" customHeight="1" x14ac:dyDescent="0.25">
      <c r="A7" s="155"/>
      <c r="B7" s="155"/>
      <c r="C7" s="155"/>
      <c r="D7" s="155" t="s">
        <v>529</v>
      </c>
      <c r="E7" s="157">
        <f>SUM(E2:E6)</f>
        <v>15037.5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7"/>
  <sheetViews>
    <sheetView workbookViewId="0"/>
  </sheetViews>
  <sheetFormatPr defaultColWidth="8.6640625" defaultRowHeight="13.2" x14ac:dyDescent="0.25"/>
  <cols>
    <col min="1" max="1" width="19.33203125" customWidth="1"/>
    <col min="2" max="2" width="12.77734375" customWidth="1"/>
    <col min="3" max="3" width="12.109375" customWidth="1"/>
    <col min="4" max="4" width="29.6640625" customWidth="1"/>
    <col min="5" max="5" width="12.44140625" customWidth="1"/>
  </cols>
  <sheetData>
    <row r="1" spans="1:5" ht="12.75" customHeight="1" x14ac:dyDescent="0.25">
      <c r="A1" s="159" t="s">
        <v>530</v>
      </c>
      <c r="B1" s="159" t="s">
        <v>531</v>
      </c>
      <c r="C1" s="159" t="s">
        <v>532</v>
      </c>
      <c r="D1" s="159" t="s">
        <v>533</v>
      </c>
      <c r="E1" s="159" t="s">
        <v>534</v>
      </c>
    </row>
    <row r="2" spans="1:5" ht="12.75" customHeight="1" x14ac:dyDescent="0.25">
      <c r="A2" s="155" t="s">
        <v>535</v>
      </c>
      <c r="B2" s="155">
        <v>80</v>
      </c>
      <c r="C2" s="155">
        <v>25</v>
      </c>
      <c r="D2" s="157">
        <v>21</v>
      </c>
      <c r="E2" s="157">
        <f>B2*C2*D2</f>
        <v>42000</v>
      </c>
    </row>
    <row r="3" spans="1:5" ht="12.75" customHeight="1" x14ac:dyDescent="0.25">
      <c r="A3" s="155" t="s">
        <v>536</v>
      </c>
      <c r="B3" s="155">
        <v>40</v>
      </c>
      <c r="C3" s="155">
        <v>25</v>
      </c>
      <c r="D3" s="157">
        <v>21</v>
      </c>
      <c r="E3" s="157">
        <f>B3*C3*D3</f>
        <v>21000</v>
      </c>
    </row>
    <row r="4" spans="1:5" ht="12.75" customHeight="1" x14ac:dyDescent="0.25">
      <c r="A4" s="155" t="s">
        <v>537</v>
      </c>
      <c r="B4" s="155">
        <v>80</v>
      </c>
      <c r="C4" s="155">
        <v>25</v>
      </c>
      <c r="D4" s="157">
        <v>21</v>
      </c>
      <c r="E4" s="157">
        <f>B4*C4*D4</f>
        <v>42000</v>
      </c>
    </row>
    <row r="5" spans="1:5" ht="12.75" customHeight="1" x14ac:dyDescent="0.25">
      <c r="A5" s="155" t="s">
        <v>538</v>
      </c>
      <c r="B5" s="155">
        <v>40</v>
      </c>
      <c r="C5" s="155">
        <v>10</v>
      </c>
      <c r="D5" s="157">
        <v>21</v>
      </c>
      <c r="E5" s="157">
        <f>B5*C5*D5</f>
        <v>8400</v>
      </c>
    </row>
    <row r="6" spans="1:5" ht="12.75" customHeight="1" x14ac:dyDescent="0.25">
      <c r="A6" s="155" t="s">
        <v>282</v>
      </c>
      <c r="B6" s="155">
        <v>20</v>
      </c>
      <c r="C6" s="155">
        <v>10</v>
      </c>
      <c r="D6" s="157">
        <v>21</v>
      </c>
      <c r="E6" s="157">
        <f>B6*C6*D6</f>
        <v>4200</v>
      </c>
    </row>
    <row r="7" spans="1:5" ht="12.75" customHeight="1" x14ac:dyDescent="0.25">
      <c r="A7" s="155"/>
      <c r="B7" s="155"/>
      <c r="C7" s="155"/>
      <c r="D7" s="155" t="s">
        <v>539</v>
      </c>
      <c r="E7" s="157">
        <f>SUM(E2:E6)</f>
        <v>117600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7"/>
  <sheetViews>
    <sheetView workbookViewId="0"/>
  </sheetViews>
  <sheetFormatPr defaultColWidth="8.6640625" defaultRowHeight="13.2" x14ac:dyDescent="0.25"/>
  <cols>
    <col min="2" max="2" width="11.109375" customWidth="1"/>
  </cols>
  <sheetData>
    <row r="1" spans="1:3" ht="26.25" customHeight="1" x14ac:dyDescent="0.25">
      <c r="A1" s="130" t="s">
        <v>540</v>
      </c>
      <c r="B1" s="130" t="s">
        <v>541</v>
      </c>
      <c r="C1" s="130" t="s">
        <v>542</v>
      </c>
    </row>
    <row r="2" spans="1:3" ht="39" customHeight="1" x14ac:dyDescent="0.25">
      <c r="A2" s="130" t="s">
        <v>543</v>
      </c>
      <c r="B2" s="131">
        <v>21</v>
      </c>
      <c r="C2" s="130" t="s">
        <v>544</v>
      </c>
    </row>
    <row r="3" spans="1:3" ht="26.25" customHeight="1" x14ac:dyDescent="0.25">
      <c r="A3" s="130" t="s">
        <v>545</v>
      </c>
      <c r="B3" s="131">
        <f>IFERROR(B2/Inputs!$B$42,0)</f>
        <v>30.000000000000004</v>
      </c>
      <c r="C3" s="130">
        <f>B2/0.7</f>
        <v>30.000000000000004</v>
      </c>
    </row>
    <row r="4" spans="1:3" ht="78.75" customHeight="1" x14ac:dyDescent="0.25">
      <c r="A4" s="130" t="s">
        <v>488</v>
      </c>
      <c r="B4" s="131">
        <f>Workforce_Maintenance_Module!E7</f>
        <v>117600</v>
      </c>
      <c r="C4" s="130" t="s">
        <v>546</v>
      </c>
    </row>
    <row r="5" spans="1:3" ht="52.5" customHeight="1" x14ac:dyDescent="0.25">
      <c r="A5" s="130" t="s">
        <v>74</v>
      </c>
      <c r="B5" s="131">
        <f>Training_Module!J9</f>
        <v>108200.00000000001</v>
      </c>
      <c r="C5" s="130" t="s">
        <v>547</v>
      </c>
    </row>
    <row r="6" spans="1:3" ht="78.75" customHeight="1" x14ac:dyDescent="0.25">
      <c r="A6" s="130" t="s">
        <v>508</v>
      </c>
      <c r="B6" s="131">
        <f>Equipment_Uniform_Module!E7</f>
        <v>15037.5</v>
      </c>
      <c r="C6" s="130" t="s">
        <v>548</v>
      </c>
    </row>
    <row r="7" spans="1:3" ht="39" customHeight="1" x14ac:dyDescent="0.25">
      <c r="A7" s="130" t="s">
        <v>549</v>
      </c>
      <c r="B7" s="131">
        <f>SUM(B3:B6)</f>
        <v>240867.5</v>
      </c>
      <c r="C7" s="130">
        <f>SUM(B3:B6)</f>
        <v>240867.5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8"/>
  <sheetViews>
    <sheetView workbookViewId="0">
      <selection sqref="A1:G1"/>
    </sheetView>
  </sheetViews>
  <sheetFormatPr defaultColWidth="8.6640625" defaultRowHeight="13.2" x14ac:dyDescent="0.25"/>
  <cols>
    <col min="1" max="1" width="46.33203125" customWidth="1"/>
    <col min="2" max="2" width="18" customWidth="1"/>
    <col min="4" max="4" width="48" customWidth="1"/>
  </cols>
  <sheetData>
    <row r="1" spans="1:7" ht="17.25" customHeight="1" x14ac:dyDescent="0.25">
      <c r="A1" s="233" t="s">
        <v>550</v>
      </c>
      <c r="B1" s="178"/>
      <c r="C1" s="178"/>
      <c r="D1" s="178"/>
      <c r="E1" s="178"/>
      <c r="F1" s="178"/>
      <c r="G1" s="178"/>
    </row>
    <row r="2" spans="1:7" ht="12.75" customHeight="1" x14ac:dyDescent="0.25">
      <c r="A2" s="232" t="s">
        <v>551</v>
      </c>
      <c r="B2" s="178"/>
      <c r="C2" s="178"/>
      <c r="D2" s="178"/>
      <c r="E2" s="178"/>
      <c r="F2" s="178"/>
      <c r="G2" s="178"/>
    </row>
    <row r="3" spans="1:7" ht="12.75" customHeight="1" x14ac:dyDescent="0.25">
      <c r="A3" s="130"/>
      <c r="B3" s="130"/>
      <c r="C3" s="130"/>
      <c r="D3" s="130"/>
      <c r="E3" s="130"/>
      <c r="F3" s="130"/>
      <c r="G3" s="130"/>
    </row>
    <row r="4" spans="1:7" ht="12.75" customHeight="1" x14ac:dyDescent="0.25">
      <c r="A4" s="132" t="s">
        <v>552</v>
      </c>
      <c r="B4" s="133">
        <f>IF(Post_Positions!U5="",Scope_of_Work!B13,Post_Positions!U5)</f>
        <v>964</v>
      </c>
      <c r="C4" s="134"/>
      <c r="D4" s="135" t="s">
        <v>553</v>
      </c>
      <c r="E4" s="130"/>
      <c r="F4" s="130"/>
      <c r="G4" s="130"/>
    </row>
    <row r="5" spans="1:7" ht="12.75" customHeight="1" x14ac:dyDescent="0.25">
      <c r="A5" s="132" t="s">
        <v>124</v>
      </c>
      <c r="B5" s="133">
        <f>B4*52</f>
        <v>50128</v>
      </c>
      <c r="C5" s="134"/>
      <c r="D5" s="134" t="s">
        <v>554</v>
      </c>
      <c r="E5" s="130"/>
      <c r="F5" s="130"/>
      <c r="G5" s="130"/>
    </row>
    <row r="6" spans="1:7" ht="12.75" hidden="1" customHeight="1" x14ac:dyDescent="0.25">
      <c r="A6" s="132" t="s">
        <v>555</v>
      </c>
      <c r="B6" s="136">
        <f>2080</f>
        <v>2080</v>
      </c>
      <c r="C6" s="134"/>
      <c r="D6" s="134" t="s">
        <v>556</v>
      </c>
      <c r="E6" s="130"/>
      <c r="F6" s="130"/>
      <c r="G6" s="130"/>
    </row>
    <row r="7" spans="1:7" ht="26.25" hidden="1" customHeight="1" x14ac:dyDescent="0.25">
      <c r="A7" s="132" t="s">
        <v>557</v>
      </c>
      <c r="B7" s="137">
        <f>Inputs!B43/B6</f>
        <v>1.8</v>
      </c>
      <c r="C7" s="134"/>
      <c r="D7" s="134" t="s">
        <v>558</v>
      </c>
      <c r="E7" s="130"/>
      <c r="F7" s="130"/>
      <c r="G7" s="130"/>
    </row>
    <row r="8" spans="1:7" ht="26.25" hidden="1" customHeight="1" x14ac:dyDescent="0.25">
      <c r="A8" s="132" t="s">
        <v>559</v>
      </c>
      <c r="B8" s="133">
        <f>IFERROR(B5/B6,0)</f>
        <v>24.1</v>
      </c>
      <c r="C8" s="134"/>
      <c r="D8" s="134" t="s">
        <v>560</v>
      </c>
      <c r="E8" s="130"/>
      <c r="F8" s="130"/>
      <c r="G8" s="130"/>
    </row>
    <row r="9" spans="1:7" ht="12.75" hidden="1" customHeight="1" x14ac:dyDescent="0.25">
      <c r="A9" s="132" t="s">
        <v>561</v>
      </c>
      <c r="B9" s="133">
        <f>B8*B7</f>
        <v>43.38</v>
      </c>
      <c r="C9" s="134"/>
      <c r="D9" s="134" t="s">
        <v>562</v>
      </c>
      <c r="E9" s="130"/>
      <c r="F9" s="130"/>
      <c r="G9" s="130"/>
    </row>
    <row r="10" spans="1:7" ht="12.75" hidden="1" customHeight="1" x14ac:dyDescent="0.25">
      <c r="A10" s="132" t="s">
        <v>38</v>
      </c>
      <c r="B10" s="133">
        <f>Inputs!B43</f>
        <v>3744</v>
      </c>
      <c r="C10" s="134"/>
      <c r="D10" s="134" t="s">
        <v>563</v>
      </c>
      <c r="E10" s="130"/>
      <c r="F10" s="130"/>
      <c r="G10" s="130"/>
    </row>
    <row r="11" spans="1:7" ht="12.75" hidden="1" customHeight="1" x14ac:dyDescent="0.25">
      <c r="A11" s="132" t="s">
        <v>564</v>
      </c>
      <c r="B11" s="133">
        <f>B10-B6</f>
        <v>1664</v>
      </c>
      <c r="C11" s="134"/>
      <c r="D11" s="134" t="s">
        <v>565</v>
      </c>
      <c r="E11" s="130"/>
      <c r="F11" s="130"/>
      <c r="G11" s="130"/>
    </row>
    <row r="12" spans="1:7" ht="12.75" hidden="1" customHeight="1" x14ac:dyDescent="0.25">
      <c r="A12" s="132" t="s">
        <v>566</v>
      </c>
      <c r="B12" s="133">
        <f>B9*B11</f>
        <v>72184.320000000007</v>
      </c>
      <c r="C12" s="134"/>
      <c r="D12" s="134" t="s">
        <v>567</v>
      </c>
      <c r="E12" s="130"/>
      <c r="F12" s="130"/>
      <c r="G12" s="130"/>
    </row>
    <row r="13" spans="1:7" ht="12.75" customHeight="1" x14ac:dyDescent="0.25">
      <c r="A13" s="132" t="s">
        <v>568</v>
      </c>
      <c r="B13" s="138">
        <f>IF(Post_Positions!U5&gt;0,Post_Positions!U14,Direct_Labor!C8)</f>
        <v>20</v>
      </c>
      <c r="C13" s="134"/>
      <c r="D13" s="134" t="s">
        <v>569</v>
      </c>
      <c r="E13" s="130"/>
      <c r="F13" s="130"/>
      <c r="G13" s="130"/>
    </row>
    <row r="14" spans="1:7" ht="12.75" customHeight="1" x14ac:dyDescent="0.25">
      <c r="A14" s="132" t="s">
        <v>570</v>
      </c>
      <c r="B14" s="138">
        <f>B12*B13</f>
        <v>1443686.4000000001</v>
      </c>
      <c r="C14" s="134"/>
      <c r="D14" s="134" t="s">
        <v>571</v>
      </c>
      <c r="E14" s="130"/>
      <c r="F14" s="130"/>
      <c r="G14" s="130"/>
    </row>
    <row r="15" spans="1:7" ht="12.75" customHeight="1" x14ac:dyDescent="0.25">
      <c r="A15" s="132" t="s">
        <v>572</v>
      </c>
      <c r="B15" s="138">
        <f>Training_Module!J9</f>
        <v>108200.00000000001</v>
      </c>
      <c r="C15" s="134"/>
      <c r="D15" s="134" t="s">
        <v>573</v>
      </c>
      <c r="E15" s="130"/>
      <c r="F15" s="130"/>
      <c r="G15" s="130"/>
    </row>
    <row r="16" spans="1:7" ht="12.75" customHeight="1" x14ac:dyDescent="0.25">
      <c r="A16" s="132" t="s">
        <v>574</v>
      </c>
      <c r="B16" s="138">
        <f>Equipment_Uniform_Module!E7</f>
        <v>15037.5</v>
      </c>
      <c r="C16" s="134"/>
      <c r="D16" s="134"/>
      <c r="E16" s="130"/>
      <c r="F16" s="130"/>
      <c r="G16" s="130"/>
    </row>
    <row r="17" spans="1:7" ht="12.75" customHeight="1" x14ac:dyDescent="0.25">
      <c r="A17" s="132" t="s">
        <v>575</v>
      </c>
      <c r="B17" s="138">
        <f>Workforce_Maintenance_Module!E7</f>
        <v>117600</v>
      </c>
      <c r="C17" s="134"/>
      <c r="D17" s="134"/>
      <c r="E17" s="130"/>
      <c r="F17" s="130"/>
      <c r="G17" s="130"/>
    </row>
    <row r="18" spans="1:7" ht="12.75" customHeight="1" x14ac:dyDescent="0.25">
      <c r="A18" s="132" t="s">
        <v>576</v>
      </c>
      <c r="B18" s="138">
        <f>SUM(B14:B17)</f>
        <v>1684523.9000000001</v>
      </c>
      <c r="C18" s="134"/>
      <c r="D18" s="134"/>
      <c r="E18" s="130"/>
      <c r="F18" s="130"/>
      <c r="G18" s="130"/>
    </row>
  </sheetData>
  <mergeCells count="2">
    <mergeCell ref="A2:G2"/>
    <mergeCell ref="A1:G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4"/>
  <sheetViews>
    <sheetView workbookViewId="0">
      <selection activeCell="E35" sqref="E35"/>
    </sheetView>
  </sheetViews>
  <sheetFormatPr defaultColWidth="8.6640625" defaultRowHeight="13.2" x14ac:dyDescent="0.25"/>
  <cols>
    <col min="1" max="1" width="28" customWidth="1"/>
    <col min="2" max="2" width="16" customWidth="1"/>
    <col min="4" max="4" width="26" customWidth="1"/>
    <col min="5" max="5" width="20" customWidth="1"/>
    <col min="7" max="7" width="20" customWidth="1"/>
    <col min="8" max="8" width="14" customWidth="1"/>
    <col min="9" max="9" width="24" customWidth="1"/>
  </cols>
  <sheetData>
    <row r="1" spans="1:10" ht="17.25" customHeight="1" x14ac:dyDescent="0.25">
      <c r="A1" s="233" t="s">
        <v>577</v>
      </c>
      <c r="B1" s="178"/>
      <c r="C1" s="178"/>
      <c r="D1" s="178"/>
      <c r="E1" s="178"/>
      <c r="F1" s="178"/>
      <c r="G1" s="178"/>
      <c r="H1" s="178"/>
      <c r="I1" s="178"/>
      <c r="J1" s="178"/>
    </row>
    <row r="2" spans="1:10" ht="12.75" customHeight="1" x14ac:dyDescent="0.25">
      <c r="A2" s="232" t="s">
        <v>578</v>
      </c>
      <c r="B2" s="178"/>
      <c r="C2" s="178"/>
      <c r="D2" s="178"/>
      <c r="E2" s="178"/>
      <c r="F2" s="178"/>
      <c r="G2" s="178"/>
      <c r="H2" s="178"/>
      <c r="I2" s="178"/>
      <c r="J2" s="178"/>
    </row>
    <row r="3" spans="1:10" ht="12.75" customHeight="1" x14ac:dyDescent="0.25">
      <c r="A3" s="130"/>
      <c r="B3" s="130"/>
      <c r="C3" s="130"/>
      <c r="D3" s="130"/>
      <c r="E3" s="130"/>
      <c r="F3" s="130"/>
      <c r="G3" s="130"/>
      <c r="H3" s="130"/>
      <c r="I3" s="130"/>
      <c r="J3" s="130"/>
    </row>
    <row r="4" spans="1:10" ht="26.25" customHeight="1" x14ac:dyDescent="0.25">
      <c r="A4" s="139" t="s">
        <v>579</v>
      </c>
      <c r="B4" s="139" t="s">
        <v>210</v>
      </c>
      <c r="C4" s="130"/>
      <c r="D4" s="139" t="s">
        <v>580</v>
      </c>
      <c r="E4" s="140"/>
      <c r="F4" s="130"/>
      <c r="G4" s="139" t="s">
        <v>581</v>
      </c>
      <c r="H4" s="130"/>
      <c r="I4" s="130"/>
      <c r="J4" s="130"/>
    </row>
    <row r="5" spans="1:10" ht="12.75" customHeight="1" x14ac:dyDescent="0.25">
      <c r="A5" s="132" t="s">
        <v>124</v>
      </c>
      <c r="B5" s="133">
        <f>Workforce_to_Post!B5</f>
        <v>50128</v>
      </c>
      <c r="C5" s="130"/>
      <c r="D5" s="134" t="s">
        <v>582</v>
      </c>
      <c r="E5" s="134" t="str">
        <f>IF(B8="","No Rate",IF(B8&lt;Vendor_Pricing!B6,"Below Floor",IF(B8&lt;Vendor_Pricing!B7,"Floor to Target",IF(B8&lt;=Vendor_Pricing!B8,"Target to Ceiling","Above Ceiling"))))</f>
        <v>Target to Ceiling</v>
      </c>
      <c r="F5" s="130"/>
      <c r="G5" s="141" t="s">
        <v>583</v>
      </c>
      <c r="H5" s="141" t="s">
        <v>584</v>
      </c>
      <c r="I5" s="141" t="s">
        <v>553</v>
      </c>
      <c r="J5" s="130"/>
    </row>
    <row r="6" spans="1:10" ht="21" customHeight="1" x14ac:dyDescent="0.25">
      <c r="A6" s="132" t="s">
        <v>585</v>
      </c>
      <c r="B6" s="138">
        <f>Government_TCO!B8</f>
        <v>73.469387755102048</v>
      </c>
      <c r="C6" s="130"/>
      <c r="D6" s="134" t="s">
        <v>586</v>
      </c>
      <c r="E6" s="142" t="str">
        <f>IF(E5="Below Floor","D",IF(E5="Floor to Target","A",IF(E5="Target to Ceiling","B",IF(E5="Above Ceiling","C","NR"))))</f>
        <v>B</v>
      </c>
      <c r="F6" s="130"/>
      <c r="G6" s="134" t="s">
        <v>587</v>
      </c>
      <c r="H6" s="138">
        <f>Vendor_Pricing!B6-0.01</f>
        <v>35.99</v>
      </c>
      <c r="I6" s="134" t="s">
        <v>588</v>
      </c>
      <c r="J6" s="130"/>
    </row>
    <row r="7" spans="1:10" ht="26.25" customHeight="1" x14ac:dyDescent="0.25">
      <c r="A7" s="132" t="s">
        <v>589</v>
      </c>
      <c r="B7" s="138">
        <f>Vendor_Pricing!B5</f>
        <v>51.428571428571431</v>
      </c>
      <c r="C7" s="130"/>
      <c r="D7" s="134" t="s">
        <v>359</v>
      </c>
      <c r="E7" s="134" t="str">
        <f>IF(E5="Below Floor","High performance risk / underbid",IF(E5="Floor to Target","Best value zone",IF(E5="Target to Ceiling","Acceptable with justification",IF(E5="Above Ceiling","Premium / likely overpriced","Review inputs"))))</f>
        <v>Acceptable with justification</v>
      </c>
      <c r="F7" s="130"/>
      <c r="G7" s="134" t="s">
        <v>590</v>
      </c>
      <c r="H7" s="138">
        <f>AVERAGE(Vendor_Pricing!B6,Vendor_Pricing!B7)</f>
        <v>39.857142857142861</v>
      </c>
      <c r="I7" s="134" t="s">
        <v>591</v>
      </c>
      <c r="J7" s="130"/>
    </row>
    <row r="8" spans="1:10" ht="12.75" customHeight="1" x14ac:dyDescent="0.25">
      <c r="A8" s="132" t="s">
        <v>592</v>
      </c>
      <c r="B8" s="138">
        <f>IF(Post_Positions!U5&gt;0,Post_Positions!U15,Vendor_Pricing!B7)</f>
        <v>51.428571428571423</v>
      </c>
      <c r="C8" s="130"/>
      <c r="D8" s="134"/>
      <c r="E8" s="134"/>
      <c r="F8" s="130"/>
      <c r="G8" s="134" t="s">
        <v>593</v>
      </c>
      <c r="H8" s="138">
        <f>AVERAGE(Vendor_Pricing!B7,Vendor_Pricing!B8)</f>
        <v>47.571428571428569</v>
      </c>
      <c r="I8" s="134" t="s">
        <v>594</v>
      </c>
      <c r="J8" s="130"/>
    </row>
    <row r="9" spans="1:10" ht="12.75" customHeight="1" x14ac:dyDescent="0.25">
      <c r="A9" s="132" t="s">
        <v>389</v>
      </c>
      <c r="B9" s="138">
        <f>Government_TCO!B12</f>
        <v>3682873.4693877553</v>
      </c>
      <c r="C9" s="130"/>
      <c r="D9" s="135" t="s">
        <v>595</v>
      </c>
      <c r="E9" s="134"/>
      <c r="F9" s="130"/>
      <c r="G9" s="134" t="s">
        <v>596</v>
      </c>
      <c r="H9" s="138">
        <f>Vendor_Pricing!B8+0.01</f>
        <v>51.438571428571429</v>
      </c>
      <c r="I9" s="134" t="s">
        <v>597</v>
      </c>
      <c r="J9" s="130"/>
    </row>
    <row r="10" spans="1:10" ht="26.25" customHeight="1" x14ac:dyDescent="0.25">
      <c r="A10" s="132" t="s">
        <v>598</v>
      </c>
      <c r="B10" s="138">
        <f>IFERROR(B8*B5,0)</f>
        <v>2578011.4285714282</v>
      </c>
      <c r="C10" s="130"/>
      <c r="D10" s="132" t="s">
        <v>599</v>
      </c>
      <c r="E10" s="138">
        <f>Government_IGCE_Model!B7</f>
        <v>240867.5</v>
      </c>
      <c r="F10" s="130"/>
      <c r="G10" s="134" t="s">
        <v>600</v>
      </c>
      <c r="H10" s="138">
        <f>IF(Post_Positions!U5&gt;0,Post_Positions!U15,Vendor_Pricing!B7)</f>
        <v>51.428571428571423</v>
      </c>
      <c r="I10" s="134" t="str">
        <f>E7</f>
        <v>Acceptable with justification</v>
      </c>
      <c r="J10" s="130"/>
    </row>
    <row r="11" spans="1:10" ht="12.75" customHeight="1" x14ac:dyDescent="0.25">
      <c r="A11" s="132" t="s">
        <v>601</v>
      </c>
      <c r="B11" s="138">
        <f>B9-B10</f>
        <v>1104862.0408163271</v>
      </c>
      <c r="C11" s="130"/>
      <c r="D11" s="132" t="s">
        <v>602</v>
      </c>
      <c r="E11" s="138">
        <f>Training_Module!J9</f>
        <v>108200.00000000001</v>
      </c>
      <c r="F11" s="130"/>
      <c r="G11" s="134"/>
      <c r="H11" s="134"/>
      <c r="I11" s="134"/>
      <c r="J11" s="130"/>
    </row>
    <row r="12" spans="1:10" ht="26.25" customHeight="1" x14ac:dyDescent="0.25">
      <c r="A12" s="132" t="s">
        <v>603</v>
      </c>
      <c r="B12" s="137">
        <f>IFERROR(B11/B9,0)</f>
        <v>0.30000000000000016</v>
      </c>
      <c r="C12" s="130"/>
      <c r="D12" s="132" t="s">
        <v>575</v>
      </c>
      <c r="E12" s="138">
        <f>Workforce_Maintenance_Module!E7</f>
        <v>117600</v>
      </c>
      <c r="F12" s="130"/>
      <c r="G12" s="130"/>
      <c r="H12" s="130"/>
      <c r="I12" s="130"/>
      <c r="J12" s="130"/>
    </row>
    <row r="13" spans="1:10" ht="12.75" customHeight="1" x14ac:dyDescent="0.25">
      <c r="A13" s="130"/>
      <c r="B13" s="130"/>
      <c r="C13" s="130"/>
      <c r="D13" s="132" t="s">
        <v>604</v>
      </c>
      <c r="E13" s="138">
        <f>Equipment_Uniform_Module!E7</f>
        <v>15037.5</v>
      </c>
      <c r="F13" s="130"/>
      <c r="G13" s="130"/>
      <c r="H13" s="130"/>
      <c r="I13" s="130"/>
      <c r="J13" s="130"/>
    </row>
    <row r="14" spans="1:10" ht="26.25" customHeight="1" x14ac:dyDescent="0.25">
      <c r="A14" s="130"/>
      <c r="B14" s="130"/>
      <c r="C14" s="130"/>
      <c r="D14" s="132" t="s">
        <v>605</v>
      </c>
      <c r="E14" s="138">
        <f>Workforce_to_Post!B18</f>
        <v>1684523.9000000001</v>
      </c>
      <c r="F14" s="130"/>
      <c r="G14" s="130"/>
      <c r="H14" s="130"/>
      <c r="I14" s="130"/>
      <c r="J14" s="130"/>
    </row>
  </sheetData>
  <mergeCells count="2">
    <mergeCell ref="A1:J1"/>
    <mergeCell ref="A2:J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5"/>
  <sheetViews>
    <sheetView workbookViewId="0">
      <selection sqref="A1:H1"/>
    </sheetView>
  </sheetViews>
  <sheetFormatPr defaultColWidth="8.6640625" defaultRowHeight="13.2" x14ac:dyDescent="0.25"/>
  <cols>
    <col min="1" max="1" width="30" customWidth="1"/>
    <col min="2" max="2" width="18" customWidth="1"/>
    <col min="4" max="4" width="45" customWidth="1"/>
  </cols>
  <sheetData>
    <row r="1" spans="1:8" ht="17.25" customHeight="1" x14ac:dyDescent="0.25">
      <c r="A1" s="233" t="s">
        <v>606</v>
      </c>
      <c r="B1" s="178"/>
      <c r="C1" s="178"/>
      <c r="D1" s="178"/>
      <c r="E1" s="178"/>
      <c r="F1" s="178"/>
      <c r="G1" s="178"/>
      <c r="H1" s="178"/>
    </row>
    <row r="2" spans="1:8" ht="12.75" customHeight="1" x14ac:dyDescent="0.25">
      <c r="A2" s="232" t="s">
        <v>607</v>
      </c>
      <c r="B2" s="178"/>
      <c r="C2" s="178"/>
      <c r="D2" s="178"/>
      <c r="E2" s="178"/>
      <c r="F2" s="178"/>
      <c r="G2" s="178"/>
      <c r="H2" s="178"/>
    </row>
    <row r="3" spans="1:8" ht="12.75" customHeight="1" x14ac:dyDescent="0.25">
      <c r="A3" s="130"/>
      <c r="B3" s="130"/>
      <c r="C3" s="130"/>
      <c r="D3" s="130"/>
      <c r="E3" s="130"/>
      <c r="F3" s="130"/>
      <c r="G3" s="130"/>
      <c r="H3" s="130"/>
    </row>
    <row r="4" spans="1:8" ht="12.75" customHeight="1" x14ac:dyDescent="0.25">
      <c r="A4" s="135" t="s">
        <v>352</v>
      </c>
      <c r="B4" s="143">
        <f>Government_TCO!B8</f>
        <v>73.469387755102048</v>
      </c>
      <c r="C4" s="134"/>
      <c r="D4" s="135" t="s">
        <v>608</v>
      </c>
      <c r="E4" s="130"/>
      <c r="F4" s="130"/>
      <c r="G4" s="130"/>
      <c r="H4" s="130"/>
    </row>
    <row r="5" spans="1:8" ht="12.75" customHeight="1" x14ac:dyDescent="0.25">
      <c r="A5" s="132" t="s">
        <v>353</v>
      </c>
      <c r="B5" s="138">
        <f>Vendor_Pricing!B6</f>
        <v>36</v>
      </c>
      <c r="C5" s="134"/>
      <c r="D5" s="134" t="s">
        <v>609</v>
      </c>
      <c r="E5" s="130"/>
      <c r="F5" s="130"/>
      <c r="G5" s="130"/>
      <c r="H5" s="130"/>
    </row>
    <row r="6" spans="1:8" ht="12.75" customHeight="1" x14ac:dyDescent="0.25">
      <c r="A6" s="132" t="s">
        <v>366</v>
      </c>
      <c r="B6" s="138">
        <f>Vendor_Pricing!B7</f>
        <v>43.714285714285715</v>
      </c>
      <c r="C6" s="134"/>
      <c r="D6" s="134" t="s">
        <v>610</v>
      </c>
      <c r="E6" s="130"/>
      <c r="F6" s="130"/>
      <c r="G6" s="130"/>
      <c r="H6" s="130"/>
    </row>
    <row r="7" spans="1:8" ht="12.75" customHeight="1" x14ac:dyDescent="0.25">
      <c r="A7" s="132" t="s">
        <v>611</v>
      </c>
      <c r="B7" s="138">
        <f>Vendor_Pricing!B8</f>
        <v>51.428571428571431</v>
      </c>
      <c r="C7" s="134"/>
      <c r="D7" s="134" t="s">
        <v>612</v>
      </c>
      <c r="E7" s="130"/>
      <c r="F7" s="130"/>
      <c r="G7" s="130"/>
      <c r="H7" s="130"/>
    </row>
    <row r="8" spans="1:8" ht="12.75" customHeight="1" x14ac:dyDescent="0.25">
      <c r="A8" s="132" t="s">
        <v>613</v>
      </c>
      <c r="B8" s="138">
        <f>IF(Post_Positions!U5&gt;0,Post_Positions!U15,Vendor_Pricing!B7)</f>
        <v>51.428571428571423</v>
      </c>
      <c r="C8" s="134"/>
      <c r="D8" s="134" t="s">
        <v>614</v>
      </c>
      <c r="E8" s="130"/>
      <c r="F8" s="130"/>
      <c r="G8" s="130"/>
      <c r="H8" s="130"/>
    </row>
    <row r="9" spans="1:8" ht="12.6" hidden="1" customHeight="1" x14ac:dyDescent="0.25">
      <c r="A9" s="132" t="s">
        <v>356</v>
      </c>
      <c r="B9" s="138">
        <f>B8-B4</f>
        <v>-22.040816326530624</v>
      </c>
      <c r="C9" s="134"/>
      <c r="D9" s="134"/>
      <c r="E9" s="130"/>
      <c r="F9" s="130"/>
      <c r="G9" s="130"/>
      <c r="H9" s="130"/>
    </row>
    <row r="10" spans="1:8" ht="12.75" hidden="1" customHeight="1" x14ac:dyDescent="0.25">
      <c r="A10" s="132" t="s">
        <v>615</v>
      </c>
      <c r="B10" s="138">
        <f>B8-B6</f>
        <v>7.7142857142857082</v>
      </c>
      <c r="C10" s="134"/>
      <c r="D10" s="134"/>
      <c r="E10" s="130"/>
      <c r="F10" s="130"/>
      <c r="G10" s="130"/>
      <c r="H10" s="130"/>
    </row>
    <row r="11" spans="1:8" ht="12.75" hidden="1" customHeight="1" x14ac:dyDescent="0.25">
      <c r="A11" s="132" t="s">
        <v>616</v>
      </c>
      <c r="B11" s="134" t="str">
        <f>IF(B8&lt;B5,"Below Floor",IF(B8&lt;B6,"Floor to Target",IF(B8&lt;=B7,"Target to Ceiling","Above Ceiling")))</f>
        <v>Target to Ceiling</v>
      </c>
      <c r="C11" s="134"/>
      <c r="D11" s="134" t="s">
        <v>617</v>
      </c>
      <c r="E11" s="130"/>
      <c r="F11" s="130"/>
      <c r="G11" s="130"/>
      <c r="H11" s="130"/>
    </row>
    <row r="12" spans="1:8" ht="12.75" hidden="1" customHeight="1" x14ac:dyDescent="0.25">
      <c r="A12" s="132" t="s">
        <v>586</v>
      </c>
      <c r="B12" s="134" t="str">
        <f>IF(B11="Below Floor","D",IF(B11="Floor to Target","A",IF(B11="Target to Ceiling","B","C")))</f>
        <v>B</v>
      </c>
      <c r="C12" s="134"/>
      <c r="D12" s="134" t="s">
        <v>618</v>
      </c>
      <c r="E12" s="130"/>
      <c r="F12" s="130"/>
      <c r="G12" s="130"/>
      <c r="H12" s="130"/>
    </row>
    <row r="13" spans="1:8" ht="26.25" hidden="1" customHeight="1" x14ac:dyDescent="0.25">
      <c r="A13" s="132" t="s">
        <v>619</v>
      </c>
      <c r="B13" s="134" t="str">
        <f>IF(B12="A","Strong pricing alignment",IF(B12="B","Acceptable but monitor margin",IF(B12="C","Premium pricing; justify scope or quality","Underpriced; performance risk")))</f>
        <v>Acceptable but monitor margin</v>
      </c>
      <c r="C13" s="134"/>
      <c r="D13" s="134"/>
      <c r="E13" s="130"/>
      <c r="F13" s="130"/>
      <c r="G13" s="130"/>
      <c r="H13" s="130"/>
    </row>
    <row r="14" spans="1:8" ht="12.75" customHeight="1" x14ac:dyDescent="0.25">
      <c r="A14" s="132" t="s">
        <v>306</v>
      </c>
      <c r="B14" s="138">
        <f>MAX(0,(B4-B8)*Workforce_to_Post!B5)</f>
        <v>1104862.0408163271</v>
      </c>
      <c r="C14" s="134"/>
      <c r="D14" s="134"/>
      <c r="E14" s="130"/>
      <c r="F14" s="130"/>
      <c r="G14" s="130"/>
      <c r="H14" s="130"/>
    </row>
    <row r="15" spans="1:8" ht="12.75" customHeight="1" x14ac:dyDescent="0.25">
      <c r="A15" s="132" t="s">
        <v>603</v>
      </c>
      <c r="B15" s="137">
        <f>IFERROR(B14/(B4*Workforce_to_Post!B5),0)</f>
        <v>0.30000000000000016</v>
      </c>
      <c r="C15" s="134"/>
      <c r="D15" s="134"/>
      <c r="E15" s="130"/>
      <c r="F15" s="130"/>
      <c r="G15" s="130"/>
      <c r="H15" s="130"/>
    </row>
  </sheetData>
  <mergeCells count="2">
    <mergeCell ref="A2:H2"/>
    <mergeCell ref="A1:H1"/>
  </mergeCells>
  <conditionalFormatting sqref="B12">
    <cfRule type="expression" dxfId="3" priority="2">
      <formula>B12="A"</formula>
    </cfRule>
    <cfRule type="expression" dxfId="2" priority="3">
      <formula>B12="B"</formula>
    </cfRule>
    <cfRule type="expression" dxfId="1" priority="4">
      <formula>B12="C"</formula>
    </cfRule>
    <cfRule type="expression" dxfId="0" priority="5">
      <formula>B12="D"</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3"/>
  <sheetViews>
    <sheetView workbookViewId="0">
      <selection sqref="A1:G1"/>
    </sheetView>
  </sheetViews>
  <sheetFormatPr defaultColWidth="8.6640625" defaultRowHeight="13.2" x14ac:dyDescent="0.25"/>
  <cols>
    <col min="1" max="1" width="30" customWidth="1"/>
    <col min="2" max="2" width="18" customWidth="1"/>
    <col min="3" max="3" width="19.21875" customWidth="1"/>
    <col min="5" max="5" width="55" customWidth="1"/>
  </cols>
  <sheetData>
    <row r="1" spans="1:7" ht="17.25" customHeight="1" x14ac:dyDescent="0.25">
      <c r="A1" s="233" t="s">
        <v>620</v>
      </c>
      <c r="B1" s="178"/>
      <c r="C1" s="178"/>
      <c r="D1" s="178"/>
      <c r="E1" s="178"/>
      <c r="F1" s="178"/>
      <c r="G1" s="178"/>
    </row>
    <row r="2" spans="1:7" ht="12.75" customHeight="1" x14ac:dyDescent="0.25">
      <c r="A2" s="232" t="s">
        <v>621</v>
      </c>
      <c r="B2" s="178"/>
      <c r="C2" s="178"/>
      <c r="D2" s="178"/>
      <c r="E2" s="178"/>
      <c r="F2" s="178"/>
      <c r="G2" s="178"/>
    </row>
    <row r="3" spans="1:7" ht="12.75" customHeight="1" x14ac:dyDescent="0.25">
      <c r="A3" s="130"/>
      <c r="B3" s="130"/>
      <c r="C3" s="130"/>
      <c r="D3" s="130"/>
      <c r="E3" s="130"/>
      <c r="F3" s="130"/>
      <c r="G3" s="130"/>
    </row>
    <row r="4" spans="1:7" ht="26.25" customHeight="1" x14ac:dyDescent="0.25">
      <c r="A4" s="135" t="s">
        <v>59</v>
      </c>
      <c r="B4" s="135" t="s">
        <v>622</v>
      </c>
      <c r="C4" s="135" t="s">
        <v>623</v>
      </c>
      <c r="D4" s="130"/>
      <c r="E4" s="135" t="s">
        <v>624</v>
      </c>
      <c r="F4" s="130"/>
      <c r="G4" s="130"/>
    </row>
    <row r="5" spans="1:7" ht="26.25" customHeight="1" x14ac:dyDescent="0.25">
      <c r="A5" s="132" t="s">
        <v>625</v>
      </c>
      <c r="B5" s="133">
        <f>Workforce_to_Post!B5</f>
        <v>50128</v>
      </c>
      <c r="C5" s="133">
        <f>Workforce_to_Post!B5</f>
        <v>50128</v>
      </c>
      <c r="D5" s="130"/>
      <c r="E5" s="134" t="s">
        <v>626</v>
      </c>
      <c r="F5" s="130"/>
      <c r="G5" s="130"/>
    </row>
    <row r="6" spans="1:7" ht="26.25" customHeight="1" x14ac:dyDescent="0.25">
      <c r="A6" s="132" t="s">
        <v>627</v>
      </c>
      <c r="B6" s="138">
        <f>Government_TCO!B8</f>
        <v>73.469387755102048</v>
      </c>
      <c r="C6" s="138">
        <f>IF(Post_Positions!U5&gt;0,Post_Positions!U15,Vendor_Pricing!B7)</f>
        <v>51.428571428571423</v>
      </c>
      <c r="D6" s="130"/>
      <c r="E6" s="134" t="s">
        <v>628</v>
      </c>
      <c r="F6" s="130"/>
      <c r="G6" s="130"/>
    </row>
    <row r="7" spans="1:7" ht="26.25" customHeight="1" x14ac:dyDescent="0.25">
      <c r="A7" s="132" t="s">
        <v>629</v>
      </c>
      <c r="B7" s="138">
        <f>B5*B6</f>
        <v>3682873.4693877553</v>
      </c>
      <c r="C7" s="138">
        <f>C5*C6</f>
        <v>2578011.4285714282</v>
      </c>
      <c r="D7" s="130"/>
      <c r="E7" s="134" t="s">
        <v>630</v>
      </c>
      <c r="F7" s="130"/>
      <c r="G7" s="130"/>
    </row>
    <row r="8" spans="1:7" ht="26.25" customHeight="1" x14ac:dyDescent="0.25">
      <c r="A8" s="132" t="s">
        <v>602</v>
      </c>
      <c r="B8" s="138">
        <f>Training_Module!J9</f>
        <v>108200.00000000001</v>
      </c>
      <c r="C8" s="138">
        <f>Training_Module!J9</f>
        <v>108200.00000000001</v>
      </c>
      <c r="D8" s="130"/>
      <c r="E8" s="134" t="s">
        <v>631</v>
      </c>
      <c r="F8" s="130"/>
      <c r="G8" s="130"/>
    </row>
    <row r="9" spans="1:7" ht="12.75" customHeight="1" x14ac:dyDescent="0.25">
      <c r="A9" s="132" t="s">
        <v>575</v>
      </c>
      <c r="B9" s="138">
        <f>Workforce_Maintenance_Module!E7</f>
        <v>117600</v>
      </c>
      <c r="C9" s="138">
        <f>Workforce_Maintenance_Module!E7</f>
        <v>117600</v>
      </c>
      <c r="D9" s="130"/>
      <c r="E9" s="134" t="s">
        <v>632</v>
      </c>
      <c r="F9" s="130"/>
      <c r="G9" s="130"/>
    </row>
    <row r="10" spans="1:7" ht="12.75" customHeight="1" x14ac:dyDescent="0.25">
      <c r="A10" s="132" t="s">
        <v>574</v>
      </c>
      <c r="B10" s="138">
        <f>Equipment_Uniform_Module!E7</f>
        <v>15037.5</v>
      </c>
      <c r="C10" s="138">
        <f>Equipment_Uniform_Module!E7</f>
        <v>15037.5</v>
      </c>
      <c r="D10" s="130"/>
      <c r="E10" s="134"/>
      <c r="F10" s="130"/>
      <c r="G10" s="130"/>
    </row>
    <row r="11" spans="1:7" ht="12.75" customHeight="1" x14ac:dyDescent="0.25">
      <c r="A11" s="132" t="s">
        <v>633</v>
      </c>
      <c r="B11" s="138">
        <f>SUM(B7:B10)</f>
        <v>3923710.9693877553</v>
      </c>
      <c r="C11" s="138">
        <f>SUM(C7:C10)</f>
        <v>2818848.9285714282</v>
      </c>
      <c r="D11" s="130"/>
      <c r="E11" s="134"/>
      <c r="F11" s="130"/>
      <c r="G11" s="130"/>
    </row>
    <row r="12" spans="1:7" ht="12.75" customHeight="1" x14ac:dyDescent="0.25">
      <c r="A12" s="132" t="s">
        <v>634</v>
      </c>
      <c r="B12" s="134"/>
      <c r="C12" s="138">
        <f>B11-C11</f>
        <v>1104862.0408163271</v>
      </c>
      <c r="D12" s="130"/>
      <c r="E12" s="134"/>
      <c r="F12" s="130"/>
      <c r="G12" s="130"/>
    </row>
    <row r="13" spans="1:7" ht="12.75" customHeight="1" x14ac:dyDescent="0.25">
      <c r="A13" s="132" t="s">
        <v>635</v>
      </c>
      <c r="B13" s="134"/>
      <c r="C13" s="137">
        <f>IFERROR(C12/B11,0)</f>
        <v>0.28158599077156965</v>
      </c>
      <c r="D13" s="130"/>
      <c r="E13" s="130"/>
      <c r="F13" s="130"/>
      <c r="G13" s="130"/>
    </row>
  </sheetData>
  <mergeCells count="2">
    <mergeCell ref="A2:G2"/>
    <mergeCell ref="A1:G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8"/>
  <sheetViews>
    <sheetView workbookViewId="0">
      <selection sqref="A1:H1"/>
    </sheetView>
  </sheetViews>
  <sheetFormatPr defaultColWidth="8.6640625" defaultRowHeight="13.2" x14ac:dyDescent="0.25"/>
  <cols>
    <col min="1" max="1" width="22" customWidth="1"/>
    <col min="2" max="3" width="14" customWidth="1"/>
    <col min="4" max="4" width="12" customWidth="1"/>
    <col min="5" max="5" width="20" customWidth="1"/>
    <col min="6" max="6" width="22" customWidth="1"/>
    <col min="7" max="7" width="16" customWidth="1"/>
  </cols>
  <sheetData>
    <row r="1" spans="1:8" ht="17.25" customHeight="1" x14ac:dyDescent="0.25">
      <c r="A1" s="233" t="s">
        <v>636</v>
      </c>
      <c r="B1" s="178"/>
      <c r="C1" s="178"/>
      <c r="D1" s="178"/>
      <c r="E1" s="178"/>
      <c r="F1" s="178"/>
      <c r="G1" s="178"/>
      <c r="H1" s="178"/>
    </row>
    <row r="2" spans="1:8" ht="12.75" customHeight="1" x14ac:dyDescent="0.25">
      <c r="A2" s="232" t="s">
        <v>637</v>
      </c>
      <c r="B2" s="178"/>
      <c r="C2" s="178"/>
      <c r="D2" s="178"/>
      <c r="E2" s="178"/>
      <c r="F2" s="178"/>
      <c r="G2" s="178"/>
      <c r="H2" s="178"/>
    </row>
    <row r="3" spans="1:8" ht="12.75" customHeight="1" x14ac:dyDescent="0.25">
      <c r="A3" s="130"/>
      <c r="B3" s="130"/>
      <c r="C3" s="130"/>
      <c r="D3" s="130"/>
      <c r="E3" s="130"/>
      <c r="F3" s="130"/>
      <c r="G3" s="130"/>
      <c r="H3" s="130"/>
    </row>
    <row r="4" spans="1:8" ht="26.25" customHeight="1" x14ac:dyDescent="0.25">
      <c r="A4" s="144" t="s">
        <v>638</v>
      </c>
      <c r="B4" s="145" t="s">
        <v>334</v>
      </c>
      <c r="C4" s="145" t="s">
        <v>356</v>
      </c>
      <c r="D4" s="145" t="s">
        <v>357</v>
      </c>
      <c r="E4" s="145" t="s">
        <v>639</v>
      </c>
      <c r="F4" s="145" t="s">
        <v>359</v>
      </c>
      <c r="G4" s="146" t="s">
        <v>629</v>
      </c>
      <c r="H4" s="130"/>
    </row>
    <row r="5" spans="1:8" ht="12.75" customHeight="1" x14ac:dyDescent="0.25">
      <c r="A5" s="147" t="s">
        <v>640</v>
      </c>
      <c r="B5" s="138">
        <f>Vendor_Pricing!B6</f>
        <v>36</v>
      </c>
      <c r="C5" s="138">
        <f>B5-Government_TCO!B8</f>
        <v>-37.469387755102048</v>
      </c>
      <c r="D5" s="137">
        <f>IFERROR(C5/Government_TCO!B8,0)</f>
        <v>-0.51</v>
      </c>
      <c r="E5" s="134" t="str">
        <f>IF(B5&lt;Vendor_Pricing!B6,"Below Floor",IF(B5&lt;Vendor_Pricing!B7,"Floor to Target",IF(B5&lt;=Vendor_Pricing!B8,"Target to Ceiling","Above Ceiling")))</f>
        <v>Floor to Target</v>
      </c>
      <c r="F5" s="134" t="str">
        <f>IF(E5="Below Floor","High risk underbid",IF(E5="Floor to Target","Best value",IF(E5="Target to Ceiling","Acceptable","Overpriced")))</f>
        <v>Best value</v>
      </c>
      <c r="G5" s="148">
        <f>B5*Workforce_to_Post!B5</f>
        <v>1804608</v>
      </c>
      <c r="H5" s="130"/>
    </row>
    <row r="6" spans="1:8" ht="12.75" customHeight="1" x14ac:dyDescent="0.25">
      <c r="A6" s="147" t="s">
        <v>641</v>
      </c>
      <c r="B6" s="138">
        <f>Vendor_Pricing!B7</f>
        <v>43.714285714285715</v>
      </c>
      <c r="C6" s="138">
        <f>B6-Government_TCO!B8</f>
        <v>-29.755102040816332</v>
      </c>
      <c r="D6" s="137">
        <f>IFERROR(C6/Government_TCO!B8,0)</f>
        <v>-0.40500000000000003</v>
      </c>
      <c r="E6" s="134" t="str">
        <f>IF(B6&lt;Vendor_Pricing!B6,"Below Floor",IF(B6&lt;Vendor_Pricing!B7,"Floor to Target",IF(B6&lt;=Vendor_Pricing!B8,"Target to Ceiling","Above Ceiling")))</f>
        <v>Target to Ceiling</v>
      </c>
      <c r="F6" s="134" t="str">
        <f>IF(E6="Below Floor","High risk underbid",IF(E6="Floor to Target","Best value",IF(E6="Target to Ceiling","Acceptable","Overpriced")))</f>
        <v>Acceptable</v>
      </c>
      <c r="G6" s="148">
        <f>B6*Workforce_to_Post!B5</f>
        <v>2191309.7142857146</v>
      </c>
      <c r="H6" s="130"/>
    </row>
    <row r="7" spans="1:8" ht="12.75" customHeight="1" x14ac:dyDescent="0.25">
      <c r="A7" s="147" t="s">
        <v>642</v>
      </c>
      <c r="B7" s="138">
        <f>Vendor_Pricing!B8</f>
        <v>51.428571428571431</v>
      </c>
      <c r="C7" s="138">
        <f>B7-Government_TCO!B8</f>
        <v>-22.040816326530617</v>
      </c>
      <c r="D7" s="137">
        <f>IFERROR(C7/Government_TCO!B8,0)</f>
        <v>-0.30000000000000004</v>
      </c>
      <c r="E7" s="134" t="str">
        <f>IF(B7&lt;Vendor_Pricing!B6,"Below Floor",IF(B7&lt;Vendor_Pricing!B7,"Floor to Target",IF(B7&lt;=Vendor_Pricing!B8,"Target to Ceiling","Above Ceiling")))</f>
        <v>Target to Ceiling</v>
      </c>
      <c r="F7" s="134" t="str">
        <f>IF(E7="Below Floor","High risk underbid",IF(E7="Floor to Target","Best value",IF(E7="Target to Ceiling","Acceptable","Overpriced")))</f>
        <v>Acceptable</v>
      </c>
      <c r="G7" s="148">
        <f>B7*Workforce_to_Post!B5</f>
        <v>2578011.4285714286</v>
      </c>
      <c r="H7" s="130"/>
    </row>
    <row r="8" spans="1:8" ht="12.75" hidden="1" customHeight="1" x14ac:dyDescent="0.25">
      <c r="A8" s="149" t="s">
        <v>600</v>
      </c>
      <c r="B8" s="150">
        <f>IF(Post_Positions!U5&gt;0,Post_Positions!U15,Vendor_Pricing!B7)</f>
        <v>51.428571428571423</v>
      </c>
      <c r="C8" s="150">
        <f>B8-Government_TCO!B8</f>
        <v>-22.040816326530624</v>
      </c>
      <c r="D8" s="151">
        <f>IFERROR(C8/Government_TCO!B8,0)</f>
        <v>-0.30000000000000016</v>
      </c>
      <c r="E8" s="152" t="str">
        <f>IF(B8&lt;Vendor_Pricing!B6,"Below Floor",IF(B8&lt;Vendor_Pricing!B7,"Floor to Target",IF(B8&lt;=Vendor_Pricing!B8,"Target to Ceiling","Above Ceiling")))</f>
        <v>Target to Ceiling</v>
      </c>
      <c r="F8" s="152" t="str">
        <f>IF(E8="Below Floor","High risk underbid",IF(E8="Floor to Target","Best value",IF(E8="Target to Ceiling","Acceptable","Overpriced")))</f>
        <v>Acceptable</v>
      </c>
      <c r="G8" s="153">
        <f>B8*Workforce_to_Post!B5</f>
        <v>2578011.4285714282</v>
      </c>
      <c r="H8" s="130"/>
    </row>
  </sheetData>
  <mergeCells count="2">
    <mergeCell ref="A2:H2"/>
    <mergeCell ref="A1:H1"/>
  </mergeCell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9"/>
  <sheetViews>
    <sheetView workbookViewId="0">
      <selection activeCell="D19" sqref="D19"/>
    </sheetView>
  </sheetViews>
  <sheetFormatPr defaultColWidth="8.6640625" defaultRowHeight="13.2" x14ac:dyDescent="0.25"/>
  <cols>
    <col min="1" max="1" width="26" customWidth="1"/>
    <col min="2" max="2" width="16.88671875" bestFit="1" customWidth="1"/>
    <col min="3" max="3" width="18.109375" bestFit="1" customWidth="1"/>
    <col min="4" max="4" width="16" customWidth="1"/>
    <col min="5" max="5" width="12" customWidth="1"/>
    <col min="6" max="6" width="40" customWidth="1"/>
  </cols>
  <sheetData>
    <row r="1" spans="1:8" ht="17.25" customHeight="1" x14ac:dyDescent="0.25">
      <c r="A1" s="233" t="s">
        <v>643</v>
      </c>
      <c r="B1" s="178"/>
      <c r="C1" s="178"/>
      <c r="D1" s="178"/>
      <c r="E1" s="178"/>
      <c r="F1" s="178"/>
      <c r="G1" s="178"/>
      <c r="H1" s="178"/>
    </row>
    <row r="2" spans="1:8" ht="12.75" customHeight="1" x14ac:dyDescent="0.25">
      <c r="A2" s="232" t="s">
        <v>644</v>
      </c>
      <c r="B2" s="178"/>
      <c r="C2" s="178"/>
      <c r="D2" s="178"/>
      <c r="E2" s="178"/>
      <c r="F2" s="178"/>
      <c r="G2" s="178"/>
      <c r="H2" s="178"/>
    </row>
    <row r="3" spans="1:8" ht="12.75" customHeight="1" x14ac:dyDescent="0.25">
      <c r="A3" s="130"/>
      <c r="B3" s="130"/>
      <c r="C3" s="130"/>
      <c r="D3" s="130"/>
      <c r="E3" s="130"/>
      <c r="F3" s="130"/>
      <c r="G3" s="130"/>
      <c r="H3" s="130"/>
    </row>
    <row r="4" spans="1:8" ht="26.25" customHeight="1" x14ac:dyDescent="0.25">
      <c r="A4" s="139" t="s">
        <v>645</v>
      </c>
      <c r="B4" s="139" t="s">
        <v>646</v>
      </c>
      <c r="C4" s="139" t="s">
        <v>647</v>
      </c>
      <c r="D4" s="139" t="s">
        <v>648</v>
      </c>
      <c r="E4" s="139" t="s">
        <v>649</v>
      </c>
      <c r="F4" s="139" t="s">
        <v>140</v>
      </c>
      <c r="G4" s="130"/>
      <c r="H4" s="130"/>
    </row>
    <row r="5" spans="1:8" ht="26.25" customHeight="1" x14ac:dyDescent="0.25">
      <c r="A5" s="134" t="s">
        <v>650</v>
      </c>
      <c r="B5" s="138">
        <f>Government_IGCE_Model!B3</f>
        <v>30.000000000000004</v>
      </c>
      <c r="C5" s="138">
        <f>Government_TCO!B7</f>
        <v>106971.42857142858</v>
      </c>
      <c r="D5" s="138">
        <f>C5-B5</f>
        <v>106941.42857142858</v>
      </c>
      <c r="E5" s="137">
        <f>IFERROR(D5/B5,0)</f>
        <v>3564.7142857142858</v>
      </c>
      <c r="F5" s="134" t="s">
        <v>651</v>
      </c>
      <c r="G5" s="130"/>
      <c r="H5" s="130"/>
    </row>
    <row r="6" spans="1:8" ht="12.75" customHeight="1" x14ac:dyDescent="0.25">
      <c r="A6" s="134" t="s">
        <v>652</v>
      </c>
      <c r="B6" s="138">
        <f>Government_IGCE_Model!B5</f>
        <v>108200.00000000001</v>
      </c>
      <c r="C6" s="138">
        <f>Training_Module!J9</f>
        <v>108200.00000000001</v>
      </c>
      <c r="D6" s="138">
        <f>C6-B6</f>
        <v>0</v>
      </c>
      <c r="E6" s="137">
        <f>IFERROR(D6/B6,0)</f>
        <v>0</v>
      </c>
      <c r="F6" s="134" t="s">
        <v>653</v>
      </c>
      <c r="G6" s="130"/>
      <c r="H6" s="130"/>
    </row>
    <row r="7" spans="1:8" ht="26.25" customHeight="1" x14ac:dyDescent="0.25">
      <c r="A7" s="134" t="s">
        <v>654</v>
      </c>
      <c r="B7" s="138">
        <f>Government_IGCE_Model!B4</f>
        <v>117600</v>
      </c>
      <c r="C7" s="138">
        <f>Workforce_Maintenance_Module!E7</f>
        <v>117600</v>
      </c>
      <c r="D7" s="138">
        <f>C7-B7</f>
        <v>0</v>
      </c>
      <c r="E7" s="137">
        <f>IFERROR(D7/B7,0)</f>
        <v>0</v>
      </c>
      <c r="F7" s="134" t="s">
        <v>655</v>
      </c>
      <c r="G7" s="130"/>
      <c r="H7" s="130"/>
    </row>
    <row r="8" spans="1:8" ht="26.25" customHeight="1" x14ac:dyDescent="0.25">
      <c r="A8" s="134" t="s">
        <v>656</v>
      </c>
      <c r="B8" s="138">
        <f>Government_IGCE_Model!B6</f>
        <v>15037.5</v>
      </c>
      <c r="C8" s="138">
        <f>Equipment_Uniform_Module!E7</f>
        <v>15037.5</v>
      </c>
      <c r="D8" s="138">
        <f>C8-B8</f>
        <v>0</v>
      </c>
      <c r="E8" s="137">
        <f>IFERROR(D8/B8,0)</f>
        <v>0</v>
      </c>
      <c r="F8" s="134" t="s">
        <v>657</v>
      </c>
      <c r="G8" s="130"/>
      <c r="H8" s="130"/>
    </row>
    <row r="9" spans="1:8" ht="12.75" customHeight="1" x14ac:dyDescent="0.25">
      <c r="A9" s="134" t="s">
        <v>658</v>
      </c>
      <c r="B9" s="138">
        <f>Government_IGCE_Model!B7</f>
        <v>240867.5</v>
      </c>
      <c r="C9" s="138">
        <f>Capital_Recovery_Receipt!C11</f>
        <v>2818848.9285714282</v>
      </c>
      <c r="D9" s="138">
        <f>C9-B9</f>
        <v>2577981.4285714282</v>
      </c>
      <c r="E9" s="137">
        <f>IFERROR(D9/B9,0)</f>
        <v>10.702902751809306</v>
      </c>
      <c r="F9" s="134" t="s">
        <v>659</v>
      </c>
      <c r="G9" s="130"/>
      <c r="H9" s="130"/>
    </row>
  </sheetData>
  <mergeCells count="2">
    <mergeCell ref="A2:H2"/>
    <mergeCell ref="A1:H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28"/>
  <sheetViews>
    <sheetView workbookViewId="0"/>
  </sheetViews>
  <sheetFormatPr defaultColWidth="8.6640625" defaultRowHeight="13.2" x14ac:dyDescent="0.25"/>
  <cols>
    <col min="1" max="1" width="41" customWidth="1"/>
    <col min="2" max="2" width="12.44140625" customWidth="1"/>
  </cols>
  <sheetData>
    <row r="1" spans="1:2" ht="17.25" customHeight="1" x14ac:dyDescent="0.3">
      <c r="A1" s="154" t="s">
        <v>660</v>
      </c>
    </row>
    <row r="3" spans="1:2" ht="12.75" customHeight="1" x14ac:dyDescent="0.25">
      <c r="A3" s="155" t="s">
        <v>661</v>
      </c>
      <c r="B3" s="155" t="s">
        <v>662</v>
      </c>
    </row>
    <row r="4" spans="1:2" ht="12.75" customHeight="1" x14ac:dyDescent="0.25">
      <c r="A4" s="155" t="s">
        <v>663</v>
      </c>
      <c r="B4" s="76">
        <v>995904</v>
      </c>
    </row>
    <row r="5" spans="1:2" ht="12.75" customHeight="1" x14ac:dyDescent="0.25">
      <c r="A5" s="155" t="s">
        <v>664</v>
      </c>
      <c r="B5" s="76">
        <v>647457</v>
      </c>
    </row>
    <row r="6" spans="1:2" ht="12.75" customHeight="1" x14ac:dyDescent="0.25">
      <c r="A6" s="155" t="s">
        <v>665</v>
      </c>
      <c r="B6" s="76">
        <v>348447</v>
      </c>
    </row>
    <row r="7" spans="1:2" ht="12.75" customHeight="1" x14ac:dyDescent="0.25">
      <c r="A7" s="155"/>
      <c r="B7" s="155"/>
    </row>
    <row r="8" spans="1:2" ht="12.75" customHeight="1" x14ac:dyDescent="0.25">
      <c r="A8" s="155" t="s">
        <v>666</v>
      </c>
      <c r="B8" s="155"/>
    </row>
    <row r="9" spans="1:2" ht="12.75" customHeight="1" x14ac:dyDescent="0.25">
      <c r="A9" s="155" t="s">
        <v>530</v>
      </c>
      <c r="B9" s="155" t="s">
        <v>667</v>
      </c>
    </row>
    <row r="10" spans="1:2" ht="12.75" customHeight="1" x14ac:dyDescent="0.25">
      <c r="A10" s="155" t="s">
        <v>668</v>
      </c>
      <c r="B10" s="76">
        <v>550000</v>
      </c>
    </row>
    <row r="11" spans="1:2" ht="12.75" customHeight="1" x14ac:dyDescent="0.25">
      <c r="A11" s="155" t="s">
        <v>669</v>
      </c>
      <c r="B11" s="76">
        <v>300000</v>
      </c>
    </row>
    <row r="12" spans="1:2" ht="12.75" customHeight="1" x14ac:dyDescent="0.25">
      <c r="A12" s="155" t="s">
        <v>654</v>
      </c>
      <c r="B12" s="76">
        <v>80000</v>
      </c>
    </row>
    <row r="13" spans="1:2" ht="12.75" customHeight="1" x14ac:dyDescent="0.25">
      <c r="A13" s="155" t="s">
        <v>652</v>
      </c>
      <c r="B13" s="76">
        <v>30000</v>
      </c>
    </row>
    <row r="14" spans="1:2" ht="12.75" customHeight="1" x14ac:dyDescent="0.25">
      <c r="A14" s="155" t="s">
        <v>670</v>
      </c>
      <c r="B14" s="76">
        <v>20000</v>
      </c>
    </row>
    <row r="15" spans="1:2" ht="12.75" customHeight="1" x14ac:dyDescent="0.25">
      <c r="A15" s="155" t="s">
        <v>671</v>
      </c>
      <c r="B15" s="76">
        <v>15000</v>
      </c>
    </row>
    <row r="16" spans="1:2" ht="12.75" customHeight="1" x14ac:dyDescent="0.25">
      <c r="A16" s="155" t="s">
        <v>581</v>
      </c>
      <c r="B16" s="155"/>
    </row>
    <row r="17" spans="1:2" ht="12.75" customHeight="1" x14ac:dyDescent="0.25">
      <c r="A17" s="155" t="s">
        <v>672</v>
      </c>
      <c r="B17" s="155" t="s">
        <v>584</v>
      </c>
    </row>
    <row r="18" spans="1:2" ht="12.75" customHeight="1" x14ac:dyDescent="0.25">
      <c r="A18" s="155" t="s">
        <v>673</v>
      </c>
      <c r="B18" s="76">
        <v>40</v>
      </c>
    </row>
    <row r="19" spans="1:2" ht="12.75" customHeight="1" x14ac:dyDescent="0.25">
      <c r="A19" s="155" t="s">
        <v>641</v>
      </c>
      <c r="B19" s="76">
        <v>50</v>
      </c>
    </row>
    <row r="20" spans="1:2" ht="12.75" customHeight="1" x14ac:dyDescent="0.25">
      <c r="A20" s="155" t="s">
        <v>642</v>
      </c>
      <c r="B20" s="76">
        <v>60</v>
      </c>
    </row>
    <row r="21" spans="1:2" ht="12.75" customHeight="1" x14ac:dyDescent="0.25">
      <c r="A21" s="155"/>
      <c r="B21" s="155"/>
    </row>
    <row r="22" spans="1:2" ht="12.75" customHeight="1" x14ac:dyDescent="0.25">
      <c r="A22" s="155" t="s">
        <v>674</v>
      </c>
      <c r="B22" s="155"/>
    </row>
    <row r="23" spans="1:2" ht="12.75" customHeight="1" x14ac:dyDescent="0.25">
      <c r="A23" s="155" t="s">
        <v>675</v>
      </c>
      <c r="B23" s="155" t="s">
        <v>676</v>
      </c>
    </row>
    <row r="24" spans="1:2" ht="12.75" customHeight="1" x14ac:dyDescent="0.25">
      <c r="A24" s="155">
        <v>1</v>
      </c>
      <c r="B24" s="48">
        <v>29000</v>
      </c>
    </row>
    <row r="25" spans="1:2" ht="12.75" customHeight="1" x14ac:dyDescent="0.25">
      <c r="A25" s="155">
        <v>3</v>
      </c>
      <c r="B25" s="48">
        <v>87000</v>
      </c>
    </row>
    <row r="26" spans="1:2" ht="12.75" customHeight="1" x14ac:dyDescent="0.25">
      <c r="A26" s="155">
        <v>6</v>
      </c>
      <c r="B26" s="48">
        <v>174000</v>
      </c>
    </row>
    <row r="27" spans="1:2" ht="12.75" customHeight="1" x14ac:dyDescent="0.25">
      <c r="A27" s="155">
        <v>8</v>
      </c>
      <c r="B27" s="48">
        <v>232000</v>
      </c>
    </row>
    <row r="28" spans="1:2" ht="12.75" customHeight="1" x14ac:dyDescent="0.25">
      <c r="A28" s="155">
        <v>12</v>
      </c>
      <c r="B28" s="48">
        <v>348447</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25"/>
  <sheetViews>
    <sheetView workbookViewId="0"/>
  </sheetViews>
  <sheetFormatPr defaultColWidth="8.6640625" defaultRowHeight="13.2" x14ac:dyDescent="0.25"/>
  <cols>
    <col min="1" max="1" width="49.33203125" customWidth="1"/>
    <col min="2" max="2" width="12.44140625" customWidth="1"/>
    <col min="3" max="4" width="10.44140625" customWidth="1"/>
  </cols>
  <sheetData>
    <row r="1" spans="1:4" ht="17.25" customHeight="1" x14ac:dyDescent="0.3">
      <c r="A1" s="154" t="s">
        <v>677</v>
      </c>
    </row>
    <row r="3" spans="1:4" ht="12.75" customHeight="1" x14ac:dyDescent="0.25">
      <c r="A3" t="s">
        <v>581</v>
      </c>
      <c r="B3" t="s">
        <v>584</v>
      </c>
    </row>
    <row r="4" spans="1:4" ht="12.75" customHeight="1" x14ac:dyDescent="0.25">
      <c r="A4" s="155" t="s">
        <v>673</v>
      </c>
      <c r="B4" s="76">
        <v>40</v>
      </c>
      <c r="C4" s="155"/>
      <c r="D4" s="155"/>
    </row>
    <row r="5" spans="1:4" ht="12.75" customHeight="1" x14ac:dyDescent="0.25">
      <c r="A5" s="155" t="s">
        <v>641</v>
      </c>
      <c r="B5" s="76">
        <v>50</v>
      </c>
      <c r="C5" s="155"/>
      <c r="D5" s="155"/>
    </row>
    <row r="6" spans="1:4" ht="12.75" customHeight="1" x14ac:dyDescent="0.25">
      <c r="A6" s="155" t="s">
        <v>642</v>
      </c>
      <c r="B6" s="76">
        <v>60</v>
      </c>
      <c r="C6" s="155"/>
      <c r="D6" s="155"/>
    </row>
    <row r="7" spans="1:4" ht="12.75" customHeight="1" x14ac:dyDescent="0.25">
      <c r="A7" s="155"/>
      <c r="B7" s="155"/>
      <c r="C7" s="155"/>
      <c r="D7" s="155"/>
    </row>
    <row r="8" spans="1:4" ht="12.75" customHeight="1" x14ac:dyDescent="0.25">
      <c r="A8" s="155" t="s">
        <v>678</v>
      </c>
      <c r="B8" s="155"/>
      <c r="C8" s="155"/>
      <c r="D8" s="155"/>
    </row>
    <row r="9" spans="1:4" ht="12.75" customHeight="1" x14ac:dyDescent="0.25">
      <c r="A9" s="155" t="s">
        <v>530</v>
      </c>
      <c r="B9" s="155" t="s">
        <v>503</v>
      </c>
      <c r="C9" s="155"/>
      <c r="D9" s="155"/>
    </row>
    <row r="10" spans="1:4" ht="12.75" customHeight="1" x14ac:dyDescent="0.25">
      <c r="A10" s="155" t="s">
        <v>679</v>
      </c>
      <c r="B10" s="155">
        <v>2080</v>
      </c>
      <c r="C10" s="155"/>
      <c r="D10" s="155"/>
    </row>
    <row r="11" spans="1:4" ht="12.75" customHeight="1" x14ac:dyDescent="0.25">
      <c r="A11" s="155" t="s">
        <v>680</v>
      </c>
      <c r="B11" s="155">
        <v>624</v>
      </c>
      <c r="C11" s="155"/>
      <c r="D11" s="155"/>
    </row>
    <row r="12" spans="1:4" ht="12.75" customHeight="1" x14ac:dyDescent="0.25">
      <c r="A12" s="155" t="s">
        <v>681</v>
      </c>
      <c r="B12" s="155">
        <v>80</v>
      </c>
      <c r="C12" s="155"/>
      <c r="D12" s="155"/>
    </row>
    <row r="13" spans="1:4" ht="12.75" customHeight="1" x14ac:dyDescent="0.25">
      <c r="A13" s="155"/>
      <c r="B13" s="155"/>
      <c r="C13" s="155"/>
      <c r="D13" s="155"/>
    </row>
    <row r="14" spans="1:4" ht="12.75" customHeight="1" x14ac:dyDescent="0.25">
      <c r="A14" s="155"/>
      <c r="B14" s="155"/>
      <c r="C14" s="155"/>
      <c r="D14" s="155"/>
    </row>
    <row r="15" spans="1:4" ht="12.75" customHeight="1" x14ac:dyDescent="0.25">
      <c r="A15" s="155" t="s">
        <v>682</v>
      </c>
      <c r="B15" s="155"/>
      <c r="C15" s="155"/>
      <c r="D15" s="155"/>
    </row>
    <row r="16" spans="1:4" ht="12.75" customHeight="1" x14ac:dyDescent="0.25">
      <c r="A16" s="155" t="s">
        <v>60</v>
      </c>
      <c r="B16" s="155" t="s">
        <v>683</v>
      </c>
      <c r="C16" s="155" t="s">
        <v>652</v>
      </c>
      <c r="D16" s="155" t="s">
        <v>670</v>
      </c>
    </row>
    <row r="17" spans="1:4" ht="12.75" customHeight="1" x14ac:dyDescent="0.25">
      <c r="A17" s="155" t="s">
        <v>684</v>
      </c>
      <c r="B17" s="76">
        <v>120000</v>
      </c>
      <c r="C17" s="76">
        <v>5000</v>
      </c>
      <c r="D17" s="76">
        <v>2000</v>
      </c>
    </row>
    <row r="18" spans="1:4" ht="12.75" customHeight="1" x14ac:dyDescent="0.25">
      <c r="A18" s="155" t="s">
        <v>685</v>
      </c>
      <c r="B18" s="76">
        <v>150000</v>
      </c>
      <c r="C18" s="76">
        <v>7000</v>
      </c>
      <c r="D18" s="76">
        <v>2500</v>
      </c>
    </row>
    <row r="19" spans="1:4" ht="12.75" customHeight="1" x14ac:dyDescent="0.25">
      <c r="A19" s="155" t="s">
        <v>686</v>
      </c>
      <c r="B19" s="76">
        <v>90000</v>
      </c>
      <c r="C19" s="76">
        <v>4000</v>
      </c>
      <c r="D19" s="76">
        <v>1500</v>
      </c>
    </row>
    <row r="20" spans="1:4" ht="12.75" customHeight="1" x14ac:dyDescent="0.25">
      <c r="A20" s="155"/>
      <c r="B20" s="155"/>
      <c r="C20" s="155"/>
      <c r="D20" s="155"/>
    </row>
    <row r="21" spans="1:4" ht="12.75" customHeight="1" x14ac:dyDescent="0.25">
      <c r="A21" s="155"/>
      <c r="B21" s="155"/>
      <c r="C21" s="155"/>
      <c r="D21" s="155"/>
    </row>
    <row r="22" spans="1:4" ht="12.75" customHeight="1" x14ac:dyDescent="0.25">
      <c r="A22" s="155" t="s">
        <v>687</v>
      </c>
      <c r="B22" s="155"/>
      <c r="C22" s="155"/>
      <c r="D22" s="155"/>
    </row>
    <row r="23" spans="1:4" ht="12.75" customHeight="1" x14ac:dyDescent="0.25">
      <c r="A23" s="155" t="s">
        <v>188</v>
      </c>
      <c r="B23" s="155" t="s">
        <v>210</v>
      </c>
      <c r="C23" s="155"/>
      <c r="D23" s="155"/>
    </row>
    <row r="24" spans="1:4" ht="12.75" customHeight="1" x14ac:dyDescent="0.25">
      <c r="A24" s="155" t="s">
        <v>688</v>
      </c>
      <c r="B24" s="76">
        <v>348447</v>
      </c>
      <c r="C24" s="155"/>
      <c r="D24" s="155"/>
    </row>
    <row r="25" spans="1:4" ht="12.75" customHeight="1" x14ac:dyDescent="0.25">
      <c r="A25" s="155" t="s">
        <v>689</v>
      </c>
      <c r="B25" s="76">
        <v>647457</v>
      </c>
      <c r="C25" s="155"/>
      <c r="D25" s="15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vt:i4>
      </vt:variant>
    </vt:vector>
  </HeadingPairs>
  <TitlesOfParts>
    <vt:vector size="39" baseType="lpstr">
      <vt:lpstr>Inputs</vt:lpstr>
      <vt:lpstr>Post_Positions</vt:lpstr>
      <vt:lpstr>Scope_of_Work</vt:lpstr>
      <vt:lpstr>Direct_Labor</vt:lpstr>
      <vt:lpstr>Fringe_Costs</vt:lpstr>
      <vt:lpstr>Vehicle</vt:lpstr>
      <vt:lpstr>Uniform_Equipment</vt:lpstr>
      <vt:lpstr>Operations</vt:lpstr>
      <vt:lpstr>Government_TCO</vt:lpstr>
      <vt:lpstr>Overhead_GA</vt:lpstr>
      <vt:lpstr>Vendor_Pricing</vt:lpstr>
      <vt:lpstr>Price_Realism</vt:lpstr>
      <vt:lpstr>Buyer_Vendor_Comparison</vt:lpstr>
      <vt:lpstr>Summary</vt:lpstr>
      <vt:lpstr>Contract_Summary</vt:lpstr>
      <vt:lpstr>Appraisal_Full_Scope_Report</vt:lpstr>
      <vt:lpstr>Training_Module</vt:lpstr>
      <vt:lpstr>Equipment_Uniform_Module</vt:lpstr>
      <vt:lpstr>Workforce_Maintenance_Module</vt:lpstr>
      <vt:lpstr>Government_IGCE_Model</vt:lpstr>
      <vt:lpstr>Workforce_to_Post</vt:lpstr>
      <vt:lpstr>Capital_Recovery_Dashboard</vt:lpstr>
      <vt:lpstr>Security_Cost_Rating_Report</vt:lpstr>
      <vt:lpstr>Capital_Recovery_Receipt</vt:lpstr>
      <vt:lpstr>Vendor_Price_Evaluation</vt:lpstr>
      <vt:lpstr>Government_IGCE_Comparison</vt:lpstr>
      <vt:lpstr>GASQ_Dashboard</vt:lpstr>
      <vt:lpstr>Advanced_Dashboard</vt:lpstr>
      <vt:lpstr>Appraisal_Full_Scope_Report!Print_Area</vt:lpstr>
      <vt:lpstr>Direct_Labor!Print_Area</vt:lpstr>
      <vt:lpstr>Fringe_Costs!Print_Area</vt:lpstr>
      <vt:lpstr>Government_TCO!Print_Area</vt:lpstr>
      <vt:lpstr>Inputs!Print_Area</vt:lpstr>
      <vt:lpstr>Operations!Print_Area</vt:lpstr>
      <vt:lpstr>Overhead_GA!Print_Area</vt:lpstr>
      <vt:lpstr>Price_Realism!Print_Area</vt:lpstr>
      <vt:lpstr>Scope_of_Work!Print_Area</vt:lpstr>
      <vt:lpstr>Summary!Print_Area</vt:lpstr>
      <vt:lpstr>Vendor_Pricing!Print_Area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Patricia Livingston</cp:lastModifiedBy>
  <dcterms:created xsi:type="dcterms:W3CDTF">2026-03-18T01:13:26Z</dcterms:created>
  <dcterms:modified xsi:type="dcterms:W3CDTF">2026-03-19T16:14:53Z</dcterms:modified>
</cp:coreProperties>
</file>