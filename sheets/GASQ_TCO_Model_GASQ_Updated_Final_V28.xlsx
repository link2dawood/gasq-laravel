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5.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4.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tables/table4.xml" ContentType="application/vnd.openxmlformats-officedocument.spreadsheetml.table+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D:\Grayling\Recovered data 09-28 19_12_15\Deep Scan result\Existing Partition(NTFS)\GASQ Launch Documents 2026\"/>
    </mc:Choice>
  </mc:AlternateContent>
  <xr:revisionPtr revIDLastSave="0" documentId="13_ncr:1_{CD6EBFE4-FDC0-4E73-AAF1-BFD3838F236B}" xr6:coauthVersionLast="47" xr6:coauthVersionMax="47" xr10:uidLastSave="{00000000-0000-0000-0000-000000000000}"/>
  <bookViews>
    <workbookView xWindow="-108" yWindow="-108" windowWidth="23256" windowHeight="13896" firstSheet="15" activeTab="31" xr2:uid="{00000000-000D-0000-FFFF-FFFF00000000}"/>
  </bookViews>
  <sheets>
    <sheet name="Start_Here" sheetId="1" r:id="rId1"/>
    <sheet name="Buyer_Executive_Report" sheetId="2" state="hidden" r:id="rId2"/>
    <sheet name="Automation_Guide" sheetId="3" state="hidden" r:id="rId3"/>
    <sheet name="Inputs" sheetId="4" r:id="rId4"/>
    <sheet name="CFO_Bill_Rate_Breakdown" sheetId="10" r:id="rId5"/>
    <sheet name="Post_Positions" sheetId="5" r:id="rId6"/>
    <sheet name="Uniform_Equipment" sheetId="6" r:id="rId7"/>
    <sheet name="Vehicle" sheetId="7" r:id="rId8"/>
    <sheet name="Training_Module" sheetId="8" r:id="rId9"/>
    <sheet name="Equipment_Uniform_Module" sheetId="9" r:id="rId10"/>
    <sheet name="Workforce_Maintenance_Module" sheetId="20" r:id="rId11"/>
    <sheet name="Direct_Labor" sheetId="12" r:id="rId12"/>
    <sheet name="Appraisal_Full_Scope_Report" sheetId="11" r:id="rId13"/>
    <sheet name="Additional Cost" sheetId="13" state="hidden" r:id="rId14"/>
    <sheet name="Option Year" sheetId="14" r:id="rId15"/>
    <sheet name="CLIN Pricing" sheetId="15" r:id="rId16"/>
    <sheet name="Contract Value Waterfall" sheetId="16" r:id="rId17"/>
    <sheet name="Summary" sheetId="17" r:id="rId18"/>
    <sheet name="GASQ_Dashboard" sheetId="18" state="hidden" r:id="rId19"/>
    <sheet name="Contract_Summary" sheetId="19" state="hidden" r:id="rId20"/>
    <sheet name="Government_IGCE_Model" sheetId="21" state="hidden" r:id="rId21"/>
    <sheet name="Vendor_Pricing" sheetId="22" state="hidden" r:id="rId22"/>
    <sheet name="Security_Cost_Rating_Report" sheetId="23" state="hidden" r:id="rId23"/>
    <sheet name="Capital_Recovery_Receipt" sheetId="24" state="hidden" r:id="rId24"/>
    <sheet name="Vendor_Price_Evaluation" sheetId="25" state="hidden" r:id="rId25"/>
    <sheet name="Government_IGCE_Comparison" sheetId="26" state="hidden" r:id="rId26"/>
    <sheet name="Capital_Recovery_Dashboard" sheetId="27" state="hidden" r:id="rId27"/>
    <sheet name="Advanced_Dashboard" sheetId="28" state="hidden" r:id="rId28"/>
    <sheet name="Operations" sheetId="29" state="hidden" r:id="rId29"/>
    <sheet name="Government_TCO" sheetId="30" r:id="rId30"/>
    <sheet name="Overhead_GA" sheetId="31" state="hidden" r:id="rId31"/>
    <sheet name="Buyer_Vendor_Comparison" sheetId="32" r:id="rId32"/>
    <sheet name="Workforce_to_Post" sheetId="33" state="hidden" r:id="rId33"/>
    <sheet name="Contract_Summary_v2" sheetId="34" state="hidden" r:id="rId34"/>
    <sheet name="_Calc_Backend" sheetId="35" state="hidden" r:id="rId35"/>
  </sheets>
  <definedNames>
    <definedName name="_xlnm.Print_Area" localSheetId="12">Appraisal_Full_Scope_Report!$B$1:$J$69</definedName>
    <definedName name="_xlnm.Print_Area" localSheetId="1">Buyer_Executive_Report!$A$1:$H$34</definedName>
    <definedName name="_xlnm.Print_Area" localSheetId="11">Direct_Labor!$A$1:$E$8</definedName>
    <definedName name="_xlnm.Print_Area" localSheetId="29">Government_TCO!$A$1:$E$20</definedName>
    <definedName name="_xlnm.Print_Area" localSheetId="3">Inputs!$A$1:$E$44</definedName>
    <definedName name="_xlnm.Print_Area" localSheetId="28">Operations!$A$1:$E$14</definedName>
    <definedName name="_xlnm.Print_Area" localSheetId="30">Overhead_GA!$A$1:$E$9</definedName>
    <definedName name="_xlnm.Print_Area" localSheetId="17">Summary!$A$1:$E$19</definedName>
    <definedName name="_xlnm.Print_Area" localSheetId="21">Vendor_Pricing!$A$1:$F$19</definedName>
    <definedName name="_xlnm.Print_Titles" localSheetId="5">Post_Positions!$1:$1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X35" i="35" l="1"/>
  <c r="X34" i="35"/>
  <c r="X33" i="35"/>
  <c r="U22" i="35" s="1"/>
  <c r="S21" i="35"/>
  <c r="Q21" i="35"/>
  <c r="J21" i="35"/>
  <c r="P21" i="35" s="1"/>
  <c r="F21" i="35"/>
  <c r="O21" i="35" s="1"/>
  <c r="S20" i="35"/>
  <c r="Q20" i="35"/>
  <c r="J20" i="35"/>
  <c r="P20" i="35" s="1"/>
  <c r="F20" i="35"/>
  <c r="I20" i="35" s="1"/>
  <c r="S19" i="35"/>
  <c r="Q19" i="35"/>
  <c r="J19" i="35"/>
  <c r="P19" i="35" s="1"/>
  <c r="F19" i="35"/>
  <c r="S18" i="35"/>
  <c r="Q18" i="35"/>
  <c r="J18" i="35"/>
  <c r="P18" i="35" s="1"/>
  <c r="F18" i="35"/>
  <c r="O18" i="35" s="1"/>
  <c r="S17" i="35"/>
  <c r="Q17" i="35"/>
  <c r="J17" i="35"/>
  <c r="P17" i="35" s="1"/>
  <c r="F17" i="35"/>
  <c r="O17" i="35" s="1"/>
  <c r="V16" i="35"/>
  <c r="Q16" i="35"/>
  <c r="C16" i="35"/>
  <c r="B16" i="35"/>
  <c r="V15" i="35"/>
  <c r="Q15" i="35"/>
  <c r="C15" i="35"/>
  <c r="B15" i="35"/>
  <c r="V14" i="35"/>
  <c r="Q14" i="35"/>
  <c r="C14" i="35"/>
  <c r="B14" i="35"/>
  <c r="V13" i="35"/>
  <c r="Q13" i="35"/>
  <c r="C13" i="35"/>
  <c r="B13" i="35"/>
  <c r="V12" i="35"/>
  <c r="Q12" i="35"/>
  <c r="C12" i="35"/>
  <c r="B12" i="35"/>
  <c r="V11" i="35"/>
  <c r="Q11" i="35"/>
  <c r="C11" i="35"/>
  <c r="B11" i="35"/>
  <c r="V10" i="35"/>
  <c r="Q10" i="35"/>
  <c r="C10" i="35"/>
  <c r="B10" i="35"/>
  <c r="V9" i="35"/>
  <c r="Q9" i="35"/>
  <c r="C19" i="28" s="1"/>
  <c r="C9" i="35"/>
  <c r="B9" i="35"/>
  <c r="A19" i="28" s="1"/>
  <c r="V8" i="35"/>
  <c r="Q8" i="35"/>
  <c r="C18" i="28" s="1"/>
  <c r="C8" i="35"/>
  <c r="B8" i="35"/>
  <c r="A18" i="28" s="1"/>
  <c r="V7" i="35"/>
  <c r="Q7" i="35"/>
  <c r="C7" i="35"/>
  <c r="B7" i="35"/>
  <c r="A17" i="28" s="1"/>
  <c r="F48" i="34"/>
  <c r="F45" i="34"/>
  <c r="J32" i="34"/>
  <c r="F46" i="34" s="1"/>
  <c r="F32" i="34"/>
  <c r="J31" i="34"/>
  <c r="J29" i="34"/>
  <c r="J36" i="34" s="1"/>
  <c r="F29" i="34"/>
  <c r="F22" i="34"/>
  <c r="B10" i="33"/>
  <c r="B6" i="33"/>
  <c r="B7" i="33" s="1"/>
  <c r="B35" i="30"/>
  <c r="B34" i="30"/>
  <c r="B33" i="30"/>
  <c r="B32" i="30"/>
  <c r="B31" i="30"/>
  <c r="B30" i="30"/>
  <c r="B29" i="30"/>
  <c r="B27" i="30"/>
  <c r="B26" i="30"/>
  <c r="B25" i="30"/>
  <c r="B24" i="30"/>
  <c r="B19" i="30"/>
  <c r="B18" i="30"/>
  <c r="B6" i="30"/>
  <c r="B11" i="28"/>
  <c r="B10" i="28"/>
  <c r="B11" i="22"/>
  <c r="C3" i="21"/>
  <c r="B3" i="21"/>
  <c r="E6" i="20"/>
  <c r="E5" i="20"/>
  <c r="E4" i="20"/>
  <c r="E3" i="20"/>
  <c r="E2" i="20"/>
  <c r="F48" i="19"/>
  <c r="J32" i="19"/>
  <c r="F46" i="19" s="1"/>
  <c r="F32" i="19"/>
  <c r="J29" i="19"/>
  <c r="F41" i="19" s="1"/>
  <c r="F29" i="19"/>
  <c r="F22" i="19"/>
  <c r="A61" i="16"/>
  <c r="B14" i="16"/>
  <c r="B47" i="15"/>
  <c r="A60" i="16" s="1"/>
  <c r="B46" i="15"/>
  <c r="A59" i="16" s="1"/>
  <c r="B4" i="15"/>
  <c r="K3" i="15"/>
  <c r="F68" i="14"/>
  <c r="E68" i="14"/>
  <c r="D68" i="14"/>
  <c r="C68" i="14"/>
  <c r="B68" i="14"/>
  <c r="A51" i="14"/>
  <c r="B45" i="15" s="1"/>
  <c r="A58" i="16" s="1"/>
  <c r="L50" i="14"/>
  <c r="M50" i="14" s="1"/>
  <c r="A49" i="14"/>
  <c r="B44" i="15" s="1"/>
  <c r="A57" i="16" s="1"/>
  <c r="A48" i="14"/>
  <c r="B43" i="15" s="1"/>
  <c r="A56" i="16" s="1"/>
  <c r="A47" i="14"/>
  <c r="B42" i="15" s="1"/>
  <c r="A55" i="16" s="1"/>
  <c r="L46" i="14"/>
  <c r="M46" i="14" s="1"/>
  <c r="L27" i="14"/>
  <c r="M27" i="14" s="1"/>
  <c r="B4" i="14"/>
  <c r="E3" i="14"/>
  <c r="B21" i="12"/>
  <c r="C21" i="12" s="1"/>
  <c r="B19" i="10" s="1"/>
  <c r="B21" i="14" s="1"/>
  <c r="B7" i="12"/>
  <c r="C7" i="12" s="1"/>
  <c r="J22" i="11"/>
  <c r="J21" i="11"/>
  <c r="F21" i="11"/>
  <c r="J20" i="11"/>
  <c r="F20" i="11"/>
  <c r="J16" i="11"/>
  <c r="J15" i="11"/>
  <c r="J14" i="11"/>
  <c r="J13" i="11"/>
  <c r="J12" i="11"/>
  <c r="J11" i="11"/>
  <c r="J7" i="11"/>
  <c r="G3" i="11"/>
  <c r="I63" i="10"/>
  <c r="F63" i="10"/>
  <c r="E63" i="10"/>
  <c r="K62" i="10"/>
  <c r="I62" i="10"/>
  <c r="H62" i="10"/>
  <c r="G62" i="10"/>
  <c r="F62" i="10"/>
  <c r="E62" i="10"/>
  <c r="K61" i="10"/>
  <c r="I61" i="10"/>
  <c r="H61" i="10"/>
  <c r="G61" i="10"/>
  <c r="F61" i="10"/>
  <c r="E61" i="10"/>
  <c r="I60" i="10"/>
  <c r="F60" i="10"/>
  <c r="E60" i="10"/>
  <c r="I59" i="10"/>
  <c r="F59" i="10"/>
  <c r="E59" i="10"/>
  <c r="A45" i="10"/>
  <c r="A45" i="14" s="1"/>
  <c r="B41" i="15" s="1"/>
  <c r="A54" i="16" s="1"/>
  <c r="A44" i="10"/>
  <c r="A44" i="14" s="1"/>
  <c r="B40" i="15" s="1"/>
  <c r="A53" i="16" s="1"/>
  <c r="A43" i="10"/>
  <c r="A43" i="14" s="1"/>
  <c r="B39" i="15" s="1"/>
  <c r="A52" i="16" s="1"/>
  <c r="A42" i="10"/>
  <c r="A42" i="14" s="1"/>
  <c r="B38" i="15" s="1"/>
  <c r="A51" i="16" s="1"/>
  <c r="A41" i="10"/>
  <c r="A41" i="14" s="1"/>
  <c r="B37" i="15" s="1"/>
  <c r="A50" i="16" s="1"/>
  <c r="A40" i="10"/>
  <c r="A40" i="14" s="1"/>
  <c r="B36" i="15" s="1"/>
  <c r="A49" i="16" s="1"/>
  <c r="A37" i="10"/>
  <c r="A38" i="14" s="1"/>
  <c r="B35" i="15" s="1"/>
  <c r="A48" i="16" s="1"/>
  <c r="A36" i="10"/>
  <c r="A37" i="14" s="1"/>
  <c r="B34" i="15" s="1"/>
  <c r="A47" i="16" s="1"/>
  <c r="A35" i="10"/>
  <c r="A36" i="14" s="1"/>
  <c r="B33" i="15" s="1"/>
  <c r="A46" i="16" s="1"/>
  <c r="A34" i="10"/>
  <c r="A35" i="14" s="1"/>
  <c r="B32" i="15" s="1"/>
  <c r="A45" i="16" s="1"/>
  <c r="A33" i="10"/>
  <c r="A34" i="14" s="1"/>
  <c r="B31" i="15" s="1"/>
  <c r="A44" i="16" s="1"/>
  <c r="A32" i="10"/>
  <c r="A33" i="14" s="1"/>
  <c r="B30" i="15" s="1"/>
  <c r="A43" i="16" s="1"/>
  <c r="A31" i="10"/>
  <c r="A32" i="14" s="1"/>
  <c r="B29" i="15" s="1"/>
  <c r="A42" i="16" s="1"/>
  <c r="A30" i="10"/>
  <c r="A31" i="14" s="1"/>
  <c r="B28" i="15" s="1"/>
  <c r="A41" i="16" s="1"/>
  <c r="A29" i="10"/>
  <c r="A30" i="14" s="1"/>
  <c r="B27" i="15" s="1"/>
  <c r="A40" i="16" s="1"/>
  <c r="A28" i="10"/>
  <c r="A29" i="14" s="1"/>
  <c r="B26" i="15" s="1"/>
  <c r="A39" i="16" s="1"/>
  <c r="A27" i="10"/>
  <c r="A28" i="14" s="1"/>
  <c r="B25" i="15" s="1"/>
  <c r="A38" i="16" s="1"/>
  <c r="A24" i="10"/>
  <c r="A26" i="14" s="1"/>
  <c r="B24" i="15" s="1"/>
  <c r="A37" i="16" s="1"/>
  <c r="A23" i="10"/>
  <c r="A25" i="14" s="1"/>
  <c r="B23" i="15" s="1"/>
  <c r="A36" i="16" s="1"/>
  <c r="A22" i="10"/>
  <c r="A24" i="14" s="1"/>
  <c r="B22" i="15" s="1"/>
  <c r="A35" i="16" s="1"/>
  <c r="A21" i="10"/>
  <c r="A23" i="14" s="1"/>
  <c r="B21" i="15" s="1"/>
  <c r="A34" i="16" s="1"/>
  <c r="A20" i="10"/>
  <c r="A22" i="14" s="1"/>
  <c r="B20" i="15" s="1"/>
  <c r="A33" i="16" s="1"/>
  <c r="A19" i="10"/>
  <c r="A21" i="14" s="1"/>
  <c r="B19" i="15" s="1"/>
  <c r="A32" i="16" s="1"/>
  <c r="A18" i="10"/>
  <c r="A20" i="14" s="1"/>
  <c r="B18" i="15" s="1"/>
  <c r="A31" i="16" s="1"/>
  <c r="A17" i="10"/>
  <c r="A19" i="14" s="1"/>
  <c r="B17" i="15" s="1"/>
  <c r="A30" i="16" s="1"/>
  <c r="A16" i="10"/>
  <c r="A18" i="14" s="1"/>
  <c r="B16" i="15" s="1"/>
  <c r="A29" i="16" s="1"/>
  <c r="A15" i="10"/>
  <c r="A17" i="14" s="1"/>
  <c r="B15" i="15" s="1"/>
  <c r="A28" i="16" s="1"/>
  <c r="A12" i="10"/>
  <c r="A15" i="14" s="1"/>
  <c r="B14" i="15" s="1"/>
  <c r="A27" i="16" s="1"/>
  <c r="A11" i="10"/>
  <c r="A14" i="14" s="1"/>
  <c r="B13" i="15" s="1"/>
  <c r="A26" i="16" s="1"/>
  <c r="A10" i="10"/>
  <c r="A13" i="14" s="1"/>
  <c r="B12" i="15" s="1"/>
  <c r="A25" i="16" s="1"/>
  <c r="A9" i="10"/>
  <c r="A12" i="14" s="1"/>
  <c r="B11" i="15" s="1"/>
  <c r="A24" i="16" s="1"/>
  <c r="A8" i="10"/>
  <c r="A11" i="14" s="1"/>
  <c r="B10" i="15" s="1"/>
  <c r="A23" i="16" s="1"/>
  <c r="A7" i="10"/>
  <c r="A10" i="14" s="1"/>
  <c r="B9" i="15" s="1"/>
  <c r="A22" i="16" s="1"/>
  <c r="A6" i="10"/>
  <c r="A9" i="14" s="1"/>
  <c r="B8" i="15" s="1"/>
  <c r="A21" i="16" s="1"/>
  <c r="A5" i="10"/>
  <c r="A8" i="14" s="1"/>
  <c r="B7" i="15" s="1"/>
  <c r="A20" i="16" s="1"/>
  <c r="E6" i="9"/>
  <c r="E5" i="9"/>
  <c r="E4" i="9"/>
  <c r="E3" i="9"/>
  <c r="E2" i="9"/>
  <c r="D8" i="8"/>
  <c r="D7" i="8"/>
  <c r="D6" i="8"/>
  <c r="D5" i="8"/>
  <c r="D4" i="8"/>
  <c r="D3" i="8"/>
  <c r="D2" i="8"/>
  <c r="B28" i="7"/>
  <c r="C28" i="7" s="1"/>
  <c r="B27" i="7"/>
  <c r="C27" i="7" s="1"/>
  <c r="B26" i="7"/>
  <c r="C26" i="7" s="1"/>
  <c r="B25" i="7"/>
  <c r="C25" i="7" s="1"/>
  <c r="B20" i="7"/>
  <c r="C20" i="7" s="1"/>
  <c r="B21" i="7" s="1"/>
  <c r="C21" i="7" s="1"/>
  <c r="S12" i="5"/>
  <c r="Q12" i="5" s="1"/>
  <c r="P12" i="5" s="1"/>
  <c r="R11" i="5"/>
  <c r="N11" i="5" s="1"/>
  <c r="G11" i="5" s="1"/>
  <c r="Q11" i="5"/>
  <c r="O11" i="5"/>
  <c r="I11" i="5" s="1"/>
  <c r="H11" i="5"/>
  <c r="C11" i="5"/>
  <c r="R10" i="5"/>
  <c r="N10" i="5" s="1"/>
  <c r="G10" i="5" s="1"/>
  <c r="Q10" i="5"/>
  <c r="E15" i="35" s="1"/>
  <c r="O10" i="5"/>
  <c r="I10" i="5" s="1"/>
  <c r="H10" i="5"/>
  <c r="C10" i="5"/>
  <c r="R9" i="5"/>
  <c r="F9" i="5" s="1"/>
  <c r="Q9" i="5"/>
  <c r="E14" i="35" s="1"/>
  <c r="O9" i="5"/>
  <c r="I9" i="5" s="1"/>
  <c r="H9" i="5"/>
  <c r="C9" i="5"/>
  <c r="R8" i="5"/>
  <c r="F8" i="5" s="1"/>
  <c r="Q8" i="5"/>
  <c r="E13" i="35" s="1"/>
  <c r="O8" i="5"/>
  <c r="I8" i="5" s="1"/>
  <c r="H8" i="5"/>
  <c r="C8" i="5"/>
  <c r="R7" i="5"/>
  <c r="N7" i="5" s="1"/>
  <c r="G7" i="5" s="1"/>
  <c r="Q7" i="5"/>
  <c r="E12" i="35" s="1"/>
  <c r="O7" i="5"/>
  <c r="I7" i="5" s="1"/>
  <c r="H7" i="5"/>
  <c r="C7" i="5"/>
  <c r="R6" i="5"/>
  <c r="N6" i="5" s="1"/>
  <c r="G6" i="5" s="1"/>
  <c r="Q6" i="5"/>
  <c r="E11" i="35" s="1"/>
  <c r="O6" i="5"/>
  <c r="I6" i="5" s="1"/>
  <c r="H6" i="5"/>
  <c r="C6" i="5"/>
  <c r="R5" i="5"/>
  <c r="N5" i="5" s="1"/>
  <c r="G5" i="5" s="1"/>
  <c r="Q5" i="5"/>
  <c r="E10" i="35" s="1"/>
  <c r="O5" i="5"/>
  <c r="I5" i="5" s="1"/>
  <c r="H5" i="5"/>
  <c r="C5" i="5"/>
  <c r="R4" i="5"/>
  <c r="N4" i="5" s="1"/>
  <c r="G4" i="5" s="1"/>
  <c r="Q4" i="5"/>
  <c r="O4" i="5"/>
  <c r="I4" i="5" s="1"/>
  <c r="H4" i="5"/>
  <c r="C4" i="5"/>
  <c r="R3" i="5"/>
  <c r="N3" i="5" s="1"/>
  <c r="G3" i="5" s="1"/>
  <c r="Q3" i="5"/>
  <c r="O3" i="5"/>
  <c r="I3" i="5" s="1"/>
  <c r="H3" i="5"/>
  <c r="C3" i="5"/>
  <c r="R2" i="5"/>
  <c r="Q2" i="5"/>
  <c r="E7" i="35" s="1"/>
  <c r="O2" i="5"/>
  <c r="H2" i="5"/>
  <c r="C2" i="5"/>
  <c r="B65" i="4"/>
  <c r="C56" i="4"/>
  <c r="C53" i="4"/>
  <c r="B53" i="4"/>
  <c r="B52" i="4"/>
  <c r="B51" i="4"/>
  <c r="B46" i="4"/>
  <c r="B45" i="4"/>
  <c r="B26" i="2"/>
  <c r="B25" i="2"/>
  <c r="B24" i="2"/>
  <c r="B4" i="33" l="1"/>
  <c r="B5" i="33"/>
  <c r="B8" i="33" s="1"/>
  <c r="B9" i="33" s="1"/>
  <c r="F13" i="11"/>
  <c r="F35" i="19" s="1"/>
  <c r="M9" i="5"/>
  <c r="E9" i="5" s="1"/>
  <c r="E7" i="9"/>
  <c r="E13" i="27" s="1"/>
  <c r="F5" i="5"/>
  <c r="F36" i="34"/>
  <c r="F65" i="4"/>
  <c r="F63" i="14" s="1"/>
  <c r="D5" i="5"/>
  <c r="M5" i="5"/>
  <c r="E5" i="5" s="1"/>
  <c r="F11" i="5"/>
  <c r="O20" i="35"/>
  <c r="R20" i="35" s="1"/>
  <c r="D9" i="5"/>
  <c r="D7" i="5"/>
  <c r="N9" i="5"/>
  <c r="G9" i="5" s="1"/>
  <c r="F7" i="5"/>
  <c r="F6" i="5"/>
  <c r="N8" i="5"/>
  <c r="G8" i="5" s="1"/>
  <c r="F10" i="5"/>
  <c r="M2" i="5"/>
  <c r="E2" i="5" s="1"/>
  <c r="M10" i="5"/>
  <c r="E10" i="5" s="1"/>
  <c r="B11" i="33"/>
  <c r="R12" i="5"/>
  <c r="E7" i="20"/>
  <c r="B17" i="33" s="1"/>
  <c r="R17" i="35"/>
  <c r="F3" i="5"/>
  <c r="R21" i="35"/>
  <c r="I21" i="35"/>
  <c r="C12" i="5"/>
  <c r="U14" i="35" s="1"/>
  <c r="P5" i="5"/>
  <c r="B5" i="5" s="1"/>
  <c r="P9" i="5"/>
  <c r="B9" i="5" s="1"/>
  <c r="F4" i="5"/>
  <c r="H12" i="5"/>
  <c r="F15" i="11" s="1"/>
  <c r="E5" i="32" s="1"/>
  <c r="D2" i="5"/>
  <c r="F2" i="5"/>
  <c r="D6" i="5"/>
  <c r="D10" i="5"/>
  <c r="C17" i="4"/>
  <c r="E16" i="35"/>
  <c r="M11" i="5"/>
  <c r="E11" i="5" s="1"/>
  <c r="D11" i="5"/>
  <c r="P11" i="5"/>
  <c r="B11" i="5" s="1"/>
  <c r="C19" i="15"/>
  <c r="J21" i="14"/>
  <c r="H21" i="14"/>
  <c r="F21" i="14"/>
  <c r="D21" i="14"/>
  <c r="E8" i="35"/>
  <c r="M3" i="5"/>
  <c r="E3" i="5" s="1"/>
  <c r="D3" i="5"/>
  <c r="P3" i="5"/>
  <c r="B3" i="5" s="1"/>
  <c r="E9" i="35"/>
  <c r="M4" i="5"/>
  <c r="E4" i="5" s="1"/>
  <c r="D4" i="5"/>
  <c r="P4" i="5"/>
  <c r="B4" i="5" s="1"/>
  <c r="O12" i="5"/>
  <c r="I2" i="5"/>
  <c r="I12" i="5" s="1"/>
  <c r="B22" i="7"/>
  <c r="C22" i="7" s="1"/>
  <c r="B23" i="7" s="1"/>
  <c r="C23" i="7" s="1"/>
  <c r="B24" i="7"/>
  <c r="C24" i="7" s="1"/>
  <c r="J6" i="34"/>
  <c r="J6" i="19"/>
  <c r="B8" i="10"/>
  <c r="B11" i="14" s="1"/>
  <c r="C11" i="4"/>
  <c r="G65" i="4"/>
  <c r="E4" i="15"/>
  <c r="B15" i="16"/>
  <c r="N2" i="5"/>
  <c r="P2" i="5"/>
  <c r="B2" i="5" s="1"/>
  <c r="P10" i="5"/>
  <c r="B10" i="5" s="1"/>
  <c r="S7" i="35"/>
  <c r="M8" i="5"/>
  <c r="E8" i="5" s="1"/>
  <c r="S15" i="35"/>
  <c r="M7" i="5"/>
  <c r="E7" i="5" s="1"/>
  <c r="S14" i="35"/>
  <c r="P8" i="5"/>
  <c r="B8" i="5" s="1"/>
  <c r="M6" i="5"/>
  <c r="E6" i="5" s="1"/>
  <c r="S13" i="35"/>
  <c r="P7" i="5"/>
  <c r="B7" i="5" s="1"/>
  <c r="S12" i="35"/>
  <c r="C65" i="4"/>
  <c r="C63" i="14" s="1"/>
  <c r="P6" i="5"/>
  <c r="B6" i="5" s="1"/>
  <c r="D65" i="4"/>
  <c r="D63" i="14" s="1"/>
  <c r="S11" i="35"/>
  <c r="B63" i="14"/>
  <c r="E65" i="4"/>
  <c r="E63" i="14" s="1"/>
  <c r="S10" i="35"/>
  <c r="D8" i="5"/>
  <c r="D18" i="22"/>
  <c r="D19" i="22"/>
  <c r="D17" i="22"/>
  <c r="D16" i="22"/>
  <c r="B36" i="17"/>
  <c r="D15" i="22"/>
  <c r="R18" i="35"/>
  <c r="U8" i="35"/>
  <c r="U18" i="35" s="1"/>
  <c r="J36" i="19"/>
  <c r="B5" i="26"/>
  <c r="O19" i="35"/>
  <c r="R19" i="35" s="1"/>
  <c r="I19" i="35"/>
  <c r="Q22" i="35"/>
  <c r="I17" i="35"/>
  <c r="C17" i="28"/>
  <c r="I18" i="35"/>
  <c r="C9" i="24" l="1"/>
  <c r="F9" i="35"/>
  <c r="I9" i="35" s="1"/>
  <c r="J9" i="35" s="1"/>
  <c r="P9" i="35" s="1"/>
  <c r="E12" i="27"/>
  <c r="B12" i="18"/>
  <c r="C8" i="26"/>
  <c r="F12" i="35"/>
  <c r="I12" i="35" s="1"/>
  <c r="J12" i="35" s="1"/>
  <c r="P12" i="35" s="1"/>
  <c r="H13" i="11"/>
  <c r="F14" i="35"/>
  <c r="I14" i="35" s="1"/>
  <c r="J14" i="35" s="1"/>
  <c r="P14" i="35" s="1"/>
  <c r="F11" i="35"/>
  <c r="I11" i="35" s="1"/>
  <c r="J11" i="35" s="1"/>
  <c r="P11" i="35" s="1"/>
  <c r="B6" i="21"/>
  <c r="B8" i="26" s="1"/>
  <c r="B10" i="24"/>
  <c r="C10" i="24"/>
  <c r="B12" i="33"/>
  <c r="B16" i="33"/>
  <c r="C7" i="26"/>
  <c r="F10" i="35"/>
  <c r="I10" i="35" s="1"/>
  <c r="J10" i="35" s="1"/>
  <c r="P10" i="35" s="1"/>
  <c r="F8" i="35"/>
  <c r="I8" i="35" s="1"/>
  <c r="F7" i="35"/>
  <c r="I7" i="35" s="1"/>
  <c r="J7" i="35" s="1"/>
  <c r="P7" i="35" s="1"/>
  <c r="U5" i="35"/>
  <c r="J2" i="34" s="1"/>
  <c r="B9" i="24"/>
  <c r="H5" i="1"/>
  <c r="B4" i="17"/>
  <c r="E21" i="2" s="1"/>
  <c r="F35" i="34"/>
  <c r="B4" i="12"/>
  <c r="C4" i="12" s="1"/>
  <c r="B8" i="12" s="1"/>
  <c r="C8" i="12" s="1"/>
  <c r="F13" i="35"/>
  <c r="I13" i="35" s="1"/>
  <c r="J13" i="35" s="1"/>
  <c r="P13" i="35" s="1"/>
  <c r="F15" i="35"/>
  <c r="H3" i="14"/>
  <c r="B16" i="16" s="1"/>
  <c r="C5" i="24"/>
  <c r="F12" i="5"/>
  <c r="F12" i="11" s="1"/>
  <c r="F34" i="34" s="1"/>
  <c r="F16" i="35"/>
  <c r="I16" i="35" s="1"/>
  <c r="J16" i="35" s="1"/>
  <c r="P16" i="35" s="1"/>
  <c r="H15" i="11"/>
  <c r="B71" i="4"/>
  <c r="E71" i="4" s="1"/>
  <c r="B4" i="21"/>
  <c r="B7" i="26" s="1"/>
  <c r="D7" i="13"/>
  <c r="B5" i="27"/>
  <c r="B11" i="30"/>
  <c r="B5" i="32"/>
  <c r="B41" i="17" s="1"/>
  <c r="C5" i="32"/>
  <c r="C41" i="17" s="1"/>
  <c r="D12" i="5"/>
  <c r="F14" i="11" s="1"/>
  <c r="F49" i="34" s="1"/>
  <c r="D5" i="32"/>
  <c r="D41" i="17" s="1"/>
  <c r="B5" i="24"/>
  <c r="K19" i="15"/>
  <c r="S9" i="35"/>
  <c r="M21" i="14"/>
  <c r="N19" i="15" s="1"/>
  <c r="E12" i="5"/>
  <c r="B12" i="5"/>
  <c r="M12" i="5"/>
  <c r="N12" i="5"/>
  <c r="G2" i="5"/>
  <c r="G12" i="5" s="1"/>
  <c r="S16" i="35"/>
  <c r="B29" i="7"/>
  <c r="C29" i="7" s="1"/>
  <c r="S8" i="35"/>
  <c r="P8" i="35"/>
  <c r="E41" i="17"/>
  <c r="E19" i="15"/>
  <c r="G19" i="15"/>
  <c r="E22" i="35"/>
  <c r="C10" i="15"/>
  <c r="H11" i="14"/>
  <c r="F11" i="14"/>
  <c r="D11" i="14"/>
  <c r="J11" i="14"/>
  <c r="I19" i="15"/>
  <c r="O9" i="35" l="1"/>
  <c r="O11" i="35"/>
  <c r="R11" i="35" s="1"/>
  <c r="O12" i="35"/>
  <c r="R12" i="35" s="1"/>
  <c r="O14" i="35"/>
  <c r="R14" i="35" s="1"/>
  <c r="D8" i="26"/>
  <c r="E8" i="26" s="1"/>
  <c r="D7" i="26"/>
  <c r="E7" i="26" s="1"/>
  <c r="U21" i="35"/>
  <c r="E12" i="22"/>
  <c r="X36" i="35"/>
  <c r="U23" i="35" s="1"/>
  <c r="B4" i="30"/>
  <c r="B5" i="30" s="1"/>
  <c r="F8" i="34"/>
  <c r="B6" i="12"/>
  <c r="C6" i="12" s="1"/>
  <c r="C10" i="4" s="1"/>
  <c r="B13" i="33"/>
  <c r="B14" i="33" s="1"/>
  <c r="J4" i="34"/>
  <c r="H12" i="11"/>
  <c r="F34" i="19"/>
  <c r="O13" i="35"/>
  <c r="R13" i="35" s="1"/>
  <c r="O7" i="35"/>
  <c r="R7" i="35" s="1"/>
  <c r="B5" i="12"/>
  <c r="C5" i="12" s="1"/>
  <c r="C7" i="4" s="1"/>
  <c r="O10" i="35"/>
  <c r="R10" i="35" s="1"/>
  <c r="O8" i="35"/>
  <c r="B18" i="28" s="1"/>
  <c r="B5" i="2"/>
  <c r="B21" i="2"/>
  <c r="C21" i="2"/>
  <c r="D21" i="2"/>
  <c r="H4" i="15"/>
  <c r="J4" i="19"/>
  <c r="F10" i="19" s="1"/>
  <c r="B5" i="10"/>
  <c r="B8" i="14" s="1"/>
  <c r="C7" i="15" s="1"/>
  <c r="J2" i="19"/>
  <c r="F8" i="19" s="1"/>
  <c r="B9" i="12"/>
  <c r="C9" i="12" s="1"/>
  <c r="B10" i="10" s="1"/>
  <c r="B13" i="14" s="1"/>
  <c r="B69" i="4"/>
  <c r="E69" i="4" s="1"/>
  <c r="E65" i="14" s="1"/>
  <c r="U13" i="35"/>
  <c r="X37" i="35" s="1"/>
  <c r="X38" i="35" s="1"/>
  <c r="E66" i="14"/>
  <c r="I21" i="14"/>
  <c r="J19" i="15" s="1"/>
  <c r="G71" i="4"/>
  <c r="B66" i="14"/>
  <c r="C71" i="4"/>
  <c r="C66" i="14" s="1"/>
  <c r="H14" i="11"/>
  <c r="D71" i="4"/>
  <c r="G11" i="14" s="1"/>
  <c r="H10" i="15" s="1"/>
  <c r="U10" i="35"/>
  <c r="F71" i="4"/>
  <c r="F66" i="14" s="1"/>
  <c r="F49" i="19"/>
  <c r="C4" i="4"/>
  <c r="I15" i="35"/>
  <c r="J15" i="35" s="1"/>
  <c r="P15" i="35" s="1"/>
  <c r="U7" i="35" s="1"/>
  <c r="O15" i="35"/>
  <c r="O16" i="35"/>
  <c r="S22" i="35"/>
  <c r="G10" i="15"/>
  <c r="I10" i="15"/>
  <c r="I11" i="14"/>
  <c r="J10" i="15" s="1"/>
  <c r="E6" i="8"/>
  <c r="J6" i="8" s="1"/>
  <c r="E5" i="8"/>
  <c r="J5" i="8" s="1"/>
  <c r="E4" i="8"/>
  <c r="J4" i="8" s="1"/>
  <c r="E3" i="8"/>
  <c r="J3" i="8" s="1"/>
  <c r="E7" i="8"/>
  <c r="J7" i="8" s="1"/>
  <c r="E8" i="8"/>
  <c r="J8" i="8" s="1"/>
  <c r="E2" i="8"/>
  <c r="J12" i="34"/>
  <c r="F12" i="34"/>
  <c r="J11" i="34"/>
  <c r="F21" i="34" s="1"/>
  <c r="F11" i="34"/>
  <c r="D10" i="29"/>
  <c r="B15" i="17"/>
  <c r="J11" i="19"/>
  <c r="F21" i="19" s="1"/>
  <c r="J12" i="19"/>
  <c r="B31" i="7"/>
  <c r="C31" i="7" s="1"/>
  <c r="C54" i="4"/>
  <c r="C48" i="10"/>
  <c r="C47" i="14" s="1"/>
  <c r="B54" i="4"/>
  <c r="D5" i="13"/>
  <c r="D36" i="12"/>
  <c r="C33" i="10" s="1"/>
  <c r="C34" i="14" s="1"/>
  <c r="M11" i="14"/>
  <c r="N10" i="15" s="1"/>
  <c r="K10" i="15"/>
  <c r="E10" i="15"/>
  <c r="C8" i="4"/>
  <c r="B9" i="10"/>
  <c r="B12" i="14" s="1"/>
  <c r="R9" i="35"/>
  <c r="B19" i="28"/>
  <c r="C46" i="4" l="1"/>
  <c r="D8" i="12"/>
  <c r="C9" i="10" s="1"/>
  <c r="C12" i="14" s="1"/>
  <c r="D11" i="15" s="1"/>
  <c r="G69" i="4"/>
  <c r="B6" i="10"/>
  <c r="B9" i="14" s="1"/>
  <c r="C8" i="15" s="1"/>
  <c r="J5" i="19"/>
  <c r="C45" i="4"/>
  <c r="J5" i="34"/>
  <c r="B28" i="30"/>
  <c r="B36" i="30" s="1"/>
  <c r="C28" i="30" s="1"/>
  <c r="F11" i="11"/>
  <c r="H11" i="11" s="1"/>
  <c r="K11" i="14"/>
  <c r="L10" i="15" s="1"/>
  <c r="B17" i="28"/>
  <c r="D4" i="12"/>
  <c r="C5" i="10" s="1"/>
  <c r="C8" i="14" s="1"/>
  <c r="B7" i="10"/>
  <c r="B10" i="14" s="1"/>
  <c r="J10" i="14" s="1"/>
  <c r="R8" i="35"/>
  <c r="D7" i="12"/>
  <c r="C8" i="10" s="1"/>
  <c r="C11" i="14" s="1"/>
  <c r="D10" i="15" s="1"/>
  <c r="D6" i="12"/>
  <c r="C7" i="10" s="1"/>
  <c r="C10" i="14" s="1"/>
  <c r="D9" i="15" s="1"/>
  <c r="D21" i="12"/>
  <c r="C19" i="10" s="1"/>
  <c r="C21" i="14" s="1"/>
  <c r="D19" i="15" s="1"/>
  <c r="B6" i="6"/>
  <c r="B42" i="6" s="1"/>
  <c r="C42" i="6" s="1"/>
  <c r="B30" i="7"/>
  <c r="C30" i="7" s="1"/>
  <c r="C55" i="4" s="1"/>
  <c r="D8" i="14"/>
  <c r="E7" i="15" s="1"/>
  <c r="F8" i="14"/>
  <c r="G7" i="15" s="1"/>
  <c r="E21" i="14"/>
  <c r="F19" i="15" s="1"/>
  <c r="H8" i="14"/>
  <c r="I8" i="14" s="1"/>
  <c r="J7" i="15" s="1"/>
  <c r="J8" i="14"/>
  <c r="K8" i="14" s="1"/>
  <c r="L7" i="15" s="1"/>
  <c r="C7" i="13"/>
  <c r="D5" i="12"/>
  <c r="C6" i="10" s="1"/>
  <c r="C9" i="14" s="1"/>
  <c r="D8" i="15" s="1"/>
  <c r="X39" i="35"/>
  <c r="F69" i="4"/>
  <c r="F65" i="14" s="1"/>
  <c r="B65" i="14"/>
  <c r="C69" i="4"/>
  <c r="C65" i="14" s="1"/>
  <c r="D69" i="4"/>
  <c r="D65" i="14" s="1"/>
  <c r="U6" i="35"/>
  <c r="U17" i="35" s="1"/>
  <c r="F10" i="34" s="1"/>
  <c r="C9" i="4"/>
  <c r="B10" i="12"/>
  <c r="C10" i="12" s="1"/>
  <c r="C11" i="12" s="1"/>
  <c r="B19" i="12" s="1"/>
  <c r="C19" i="12" s="1"/>
  <c r="D9" i="12"/>
  <c r="C10" i="10" s="1"/>
  <c r="C13" i="14" s="1"/>
  <c r="D12" i="15" s="1"/>
  <c r="U24" i="35"/>
  <c r="U16" i="35"/>
  <c r="U15" i="35"/>
  <c r="B12" i="22" s="1"/>
  <c r="B37" i="17" s="1"/>
  <c r="J8" i="19"/>
  <c r="J9" i="19" s="1"/>
  <c r="F9" i="34"/>
  <c r="P22" i="35"/>
  <c r="D66" i="14"/>
  <c r="G21" i="14"/>
  <c r="H19" i="15" s="1"/>
  <c r="E11" i="14"/>
  <c r="F10" i="15" s="1"/>
  <c r="K21" i="14"/>
  <c r="L19" i="15" s="1"/>
  <c r="R15" i="35"/>
  <c r="J8" i="34"/>
  <c r="J9" i="34" s="1"/>
  <c r="J13" i="34" s="1"/>
  <c r="R16" i="35"/>
  <c r="O22" i="35"/>
  <c r="D42" i="15"/>
  <c r="F13" i="14"/>
  <c r="C12" i="15"/>
  <c r="J13" i="14"/>
  <c r="H13" i="14"/>
  <c r="D13" i="14"/>
  <c r="J12" i="14"/>
  <c r="H12" i="14"/>
  <c r="F12" i="14"/>
  <c r="D12" i="14"/>
  <c r="C11" i="15"/>
  <c r="F25" i="19"/>
  <c r="F31" i="19"/>
  <c r="C50" i="10"/>
  <c r="C49" i="14" s="1"/>
  <c r="B50" i="10"/>
  <c r="B49" i="14" s="1"/>
  <c r="J2" i="8"/>
  <c r="J9" i="8" s="1"/>
  <c r="D31" i="15"/>
  <c r="B7" i="30"/>
  <c r="C5" i="26" s="1"/>
  <c r="D5" i="26" s="1"/>
  <c r="E5" i="26" s="1"/>
  <c r="D37" i="30"/>
  <c r="C43" i="4"/>
  <c r="D6" i="32"/>
  <c r="D42" i="17" s="1"/>
  <c r="C6" i="32"/>
  <c r="C42" i="17" s="1"/>
  <c r="B6" i="32"/>
  <c r="B42" i="17" s="1"/>
  <c r="U25" i="35"/>
  <c r="E6" i="32"/>
  <c r="E42" i="17" s="1"/>
  <c r="F16" i="11"/>
  <c r="B5" i="6"/>
  <c r="B31" i="12" l="1"/>
  <c r="C31" i="12" s="1"/>
  <c r="C24" i="4" s="1"/>
  <c r="D9" i="14"/>
  <c r="E9" i="14" s="1"/>
  <c r="B22" i="12"/>
  <c r="C22" i="12" s="1"/>
  <c r="H9" i="14"/>
  <c r="I8" i="15" s="1"/>
  <c r="J9" i="14"/>
  <c r="K8" i="15" s="1"/>
  <c r="B35" i="12"/>
  <c r="C35" i="12" s="1"/>
  <c r="C28" i="4" s="1"/>
  <c r="B5" i="29"/>
  <c r="C5" i="29" s="1"/>
  <c r="D5" i="29" s="1"/>
  <c r="C5" i="13"/>
  <c r="B48" i="10"/>
  <c r="B47" i="14" s="1"/>
  <c r="H47" i="14" s="1"/>
  <c r="B55" i="4"/>
  <c r="B10" i="29"/>
  <c r="C10" i="29" s="1"/>
  <c r="B67" i="4"/>
  <c r="F67" i="4" s="1"/>
  <c r="F64" i="14" s="1"/>
  <c r="B30" i="12"/>
  <c r="C30" i="12" s="1"/>
  <c r="C23" i="4" s="1"/>
  <c r="B37" i="12"/>
  <c r="C37" i="12" s="1"/>
  <c r="D37" i="12" s="1"/>
  <c r="C34" i="10" s="1"/>
  <c r="C35" i="14" s="1"/>
  <c r="B38" i="12"/>
  <c r="C38" i="12" s="1"/>
  <c r="D38" i="12" s="1"/>
  <c r="C35" i="10" s="1"/>
  <c r="C36" i="14" s="1"/>
  <c r="B4" i="29"/>
  <c r="C4" i="29" s="1"/>
  <c r="D4" i="29" s="1"/>
  <c r="B9" i="29"/>
  <c r="C9" i="29" s="1"/>
  <c r="D9" i="29" s="1"/>
  <c r="B11" i="29"/>
  <c r="C11" i="29" s="1"/>
  <c r="D11" i="29" s="1"/>
  <c r="B4" i="31"/>
  <c r="C4" i="31" s="1"/>
  <c r="D4" i="31" s="1"/>
  <c r="B12" i="29"/>
  <c r="C12" i="29" s="1"/>
  <c r="D12" i="29" s="1"/>
  <c r="B6" i="31"/>
  <c r="C6" i="31" s="1"/>
  <c r="D6" i="31" s="1"/>
  <c r="F9" i="14"/>
  <c r="B7" i="31"/>
  <c r="C7" i="31" s="1"/>
  <c r="D7" i="31" s="1"/>
  <c r="D10" i="14"/>
  <c r="E10" i="14" s="1"/>
  <c r="B5" i="31"/>
  <c r="C5" i="31" s="1"/>
  <c r="D5" i="31" s="1"/>
  <c r="B8" i="29"/>
  <c r="C8" i="29" s="1"/>
  <c r="D8" i="29" s="1"/>
  <c r="B18" i="12"/>
  <c r="C18" i="12" s="1"/>
  <c r="B16" i="10" s="1"/>
  <c r="B18" i="14" s="1"/>
  <c r="B36" i="12"/>
  <c r="C36" i="12" s="1"/>
  <c r="C29" i="4" s="1"/>
  <c r="I7" i="15"/>
  <c r="K7" i="15"/>
  <c r="G8" i="14"/>
  <c r="H7" i="15" s="1"/>
  <c r="C12" i="12"/>
  <c r="B47" i="12"/>
  <c r="C47" i="12" s="1"/>
  <c r="D47" i="12" s="1"/>
  <c r="C42" i="10" s="1"/>
  <c r="C42" i="14" s="1"/>
  <c r="C9" i="15"/>
  <c r="B48" i="12"/>
  <c r="C48" i="12" s="1"/>
  <c r="B43" i="10" s="1"/>
  <c r="B43" i="14" s="1"/>
  <c r="F10" i="14"/>
  <c r="G9" i="15" s="1"/>
  <c r="H10" i="14"/>
  <c r="I9" i="15" s="1"/>
  <c r="B33" i="12"/>
  <c r="C33" i="12" s="1"/>
  <c r="C26" i="4" s="1"/>
  <c r="B17" i="12"/>
  <c r="C17" i="12" s="1"/>
  <c r="B15" i="10" s="1"/>
  <c r="B23" i="12"/>
  <c r="C23" i="12" s="1"/>
  <c r="C19" i="4" s="1"/>
  <c r="B7" i="29"/>
  <c r="C7" i="29" s="1"/>
  <c r="D7" i="29" s="1"/>
  <c r="D10" i="12"/>
  <c r="C11" i="10" s="1"/>
  <c r="C14" i="14" s="1"/>
  <c r="D13" i="15" s="1"/>
  <c r="C21" i="4"/>
  <c r="J10" i="19"/>
  <c r="J14" i="19" s="1"/>
  <c r="B11" i="10"/>
  <c r="G59" i="10" s="1"/>
  <c r="J10" i="34"/>
  <c r="J14" i="34" s="1"/>
  <c r="F31" i="34" s="1"/>
  <c r="E8" i="14"/>
  <c r="F7" i="15" s="1"/>
  <c r="B39" i="12"/>
  <c r="C39" i="12" s="1"/>
  <c r="D39" i="12" s="1"/>
  <c r="C36" i="10" s="1"/>
  <c r="C37" i="14" s="1"/>
  <c r="B46" i="12"/>
  <c r="C46" i="12" s="1"/>
  <c r="C36" i="4" s="1"/>
  <c r="B24" i="12"/>
  <c r="C24" i="12" s="1"/>
  <c r="C20" i="4" s="1"/>
  <c r="B20" i="12"/>
  <c r="C20" i="12" s="1"/>
  <c r="B13" i="29"/>
  <c r="C13" i="29" s="1"/>
  <c r="D13" i="29" s="1"/>
  <c r="M8" i="14"/>
  <c r="N7" i="15" s="1"/>
  <c r="B45" i="12"/>
  <c r="C45" i="12" s="1"/>
  <c r="B40" i="10" s="1"/>
  <c r="B40" i="14" s="1"/>
  <c r="B34" i="12"/>
  <c r="C34" i="12" s="1"/>
  <c r="D34" i="12" s="1"/>
  <c r="C31" i="10" s="1"/>
  <c r="C32" i="14" s="1"/>
  <c r="F9" i="19"/>
  <c r="B12" i="10"/>
  <c r="H60" i="10" s="1"/>
  <c r="B8" i="25"/>
  <c r="G8" i="25" s="1"/>
  <c r="B8" i="27"/>
  <c r="H10" i="27"/>
  <c r="J3" i="19"/>
  <c r="F11" i="19" s="1"/>
  <c r="J3" i="34"/>
  <c r="J20" i="34" s="1"/>
  <c r="B8" i="23"/>
  <c r="L11" i="14"/>
  <c r="M10" i="15" s="1"/>
  <c r="U9" i="35"/>
  <c r="U19" i="35" s="1"/>
  <c r="F13" i="34"/>
  <c r="L21" i="14"/>
  <c r="M19" i="15" s="1"/>
  <c r="R22" i="35"/>
  <c r="M12" i="14"/>
  <c r="N11" i="15" s="1"/>
  <c r="D19" i="12"/>
  <c r="C17" i="10" s="1"/>
  <c r="C19" i="14" s="1"/>
  <c r="B17" i="10"/>
  <c r="B19" i="14" s="1"/>
  <c r="C15" i="4"/>
  <c r="K11" i="15"/>
  <c r="K12" i="14"/>
  <c r="L11" i="15" s="1"/>
  <c r="J22" i="34"/>
  <c r="B27" i="6"/>
  <c r="C27" i="6" s="1"/>
  <c r="B28" i="6" s="1"/>
  <c r="C28" i="6" s="1"/>
  <c r="B25" i="6"/>
  <c r="C25" i="6" s="1"/>
  <c r="B26" i="6" s="1"/>
  <c r="C26" i="6" s="1"/>
  <c r="B31" i="6"/>
  <c r="C31" i="6" s="1"/>
  <c r="B23" i="6"/>
  <c r="C23" i="6" s="1"/>
  <c r="B24" i="6" s="1"/>
  <c r="C24" i="6" s="1"/>
  <c r="B41" i="6"/>
  <c r="C41" i="6" s="1"/>
  <c r="B29" i="6"/>
  <c r="C29" i="6" s="1"/>
  <c r="B30" i="6" s="1"/>
  <c r="C30" i="6" s="1"/>
  <c r="J13" i="19"/>
  <c r="F20" i="19"/>
  <c r="F51" i="19"/>
  <c r="F51" i="34"/>
  <c r="H16" i="11"/>
  <c r="B5" i="17" s="1"/>
  <c r="D5" i="2" s="1"/>
  <c r="B73" i="4"/>
  <c r="E37" i="30"/>
  <c r="D28" i="30"/>
  <c r="E28" i="30" s="1"/>
  <c r="B24" i="17"/>
  <c r="E12" i="15"/>
  <c r="E13" i="14"/>
  <c r="D7" i="15"/>
  <c r="I12" i="15"/>
  <c r="I13" i="14"/>
  <c r="J12" i="15" s="1"/>
  <c r="K12" i="15"/>
  <c r="K13" i="14"/>
  <c r="L12" i="15" s="1"/>
  <c r="E11" i="27"/>
  <c r="C6" i="26"/>
  <c r="B15" i="33"/>
  <c r="B18" i="33" s="1"/>
  <c r="E14" i="27" s="1"/>
  <c r="B12" i="28"/>
  <c r="C8" i="24"/>
  <c r="B5" i="21"/>
  <c r="B8" i="24"/>
  <c r="B13" i="18"/>
  <c r="D8" i="13"/>
  <c r="C8" i="13"/>
  <c r="M13" i="14"/>
  <c r="N12" i="15" s="1"/>
  <c r="K9" i="15"/>
  <c r="K10" i="14"/>
  <c r="L9" i="15" s="1"/>
  <c r="C44" i="15"/>
  <c r="D49" i="14"/>
  <c r="J49" i="14"/>
  <c r="H49" i="14"/>
  <c r="F49" i="14"/>
  <c r="G12" i="15"/>
  <c r="G13" i="14"/>
  <c r="H12" i="15" s="1"/>
  <c r="D44" i="15"/>
  <c r="E11" i="15"/>
  <c r="E12" i="14"/>
  <c r="C24" i="30"/>
  <c r="D24" i="30" s="1"/>
  <c r="C32" i="30"/>
  <c r="D32" i="30" s="1"/>
  <c r="E32" i="30" s="1"/>
  <c r="C33" i="30"/>
  <c r="D33" i="30" s="1"/>
  <c r="E33" i="30" s="1"/>
  <c r="C31" i="30"/>
  <c r="D31" i="30" s="1"/>
  <c r="E31" i="30" s="1"/>
  <c r="C27" i="30"/>
  <c r="D27" i="30" s="1"/>
  <c r="E27" i="30" s="1"/>
  <c r="C29" i="30"/>
  <c r="D29" i="30" s="1"/>
  <c r="E29" i="30" s="1"/>
  <c r="C34" i="30"/>
  <c r="D34" i="30" s="1"/>
  <c r="E34" i="30" s="1"/>
  <c r="C35" i="30"/>
  <c r="D35" i="30" s="1"/>
  <c r="E35" i="30" s="1"/>
  <c r="C30" i="30"/>
  <c r="D30" i="30" s="1"/>
  <c r="E30" i="30" s="1"/>
  <c r="C25" i="30"/>
  <c r="D25" i="30" s="1"/>
  <c r="E25" i="30" s="1"/>
  <c r="C26" i="30"/>
  <c r="D26" i="30" s="1"/>
  <c r="E26" i="30" s="1"/>
  <c r="G11" i="15"/>
  <c r="G12" i="14"/>
  <c r="H11" i="15" s="1"/>
  <c r="I11" i="15"/>
  <c r="I12" i="14"/>
  <c r="J11" i="15" s="1"/>
  <c r="D22" i="12" l="1"/>
  <c r="C20" i="10" s="1"/>
  <c r="C22" i="14" s="1"/>
  <c r="B20" i="10"/>
  <c r="B28" i="10"/>
  <c r="B29" i="14" s="1"/>
  <c r="C26" i="15" s="1"/>
  <c r="D31" i="12"/>
  <c r="C28" i="10" s="1"/>
  <c r="C29" i="14" s="1"/>
  <c r="D26" i="15" s="1"/>
  <c r="C31" i="4"/>
  <c r="B64" i="14"/>
  <c r="E8" i="15"/>
  <c r="E67" i="4"/>
  <c r="E64" i="14" s="1"/>
  <c r="B33" i="10"/>
  <c r="B34" i="14" s="1"/>
  <c r="J34" i="14" s="1"/>
  <c r="C67" i="4"/>
  <c r="C64" i="14" s="1"/>
  <c r="C18" i="4"/>
  <c r="B34" i="10"/>
  <c r="B35" i="14" s="1"/>
  <c r="J35" i="14" s="1"/>
  <c r="G67" i="4"/>
  <c r="I10" i="14"/>
  <c r="J9" i="15" s="1"/>
  <c r="C32" i="4"/>
  <c r="B36" i="10"/>
  <c r="B37" i="14" s="1"/>
  <c r="J37" i="14" s="1"/>
  <c r="B32" i="10"/>
  <c r="B33" i="14" s="1"/>
  <c r="C30" i="15" s="1"/>
  <c r="D35" i="12"/>
  <c r="C32" i="10" s="1"/>
  <c r="C33" i="14" s="1"/>
  <c r="D30" i="15" s="1"/>
  <c r="I9" i="14"/>
  <c r="J8" i="15" s="1"/>
  <c r="K9" i="14"/>
  <c r="L8" i="15" s="1"/>
  <c r="B35" i="10"/>
  <c r="B36" i="14" s="1"/>
  <c r="J36" i="14" s="1"/>
  <c r="C37" i="4"/>
  <c r="B42" i="10"/>
  <c r="B42" i="14" s="1"/>
  <c r="D42" i="14" s="1"/>
  <c r="M9" i="14"/>
  <c r="N8" i="15" s="1"/>
  <c r="D47" i="14"/>
  <c r="E47" i="14" s="1"/>
  <c r="J47" i="14"/>
  <c r="C42" i="15"/>
  <c r="F47" i="14"/>
  <c r="G42" i="15" s="1"/>
  <c r="B21" i="10"/>
  <c r="B23" i="14" s="1"/>
  <c r="F23" i="14" s="1"/>
  <c r="D67" i="4"/>
  <c r="D64" i="14" s="1"/>
  <c r="B14" i="14"/>
  <c r="C13" i="15" s="1"/>
  <c r="G9" i="14"/>
  <c r="H8" i="15" s="1"/>
  <c r="B27" i="10"/>
  <c r="B28" i="14" s="1"/>
  <c r="D28" i="14" s="1"/>
  <c r="G8" i="15"/>
  <c r="D30" i="12"/>
  <c r="C27" i="10" s="1"/>
  <c r="C28" i="14" s="1"/>
  <c r="E9" i="15"/>
  <c r="D46" i="12"/>
  <c r="C41" i="10" s="1"/>
  <c r="C41" i="14" s="1"/>
  <c r="D37" i="15" s="1"/>
  <c r="K59" i="10"/>
  <c r="D18" i="12"/>
  <c r="C16" i="10" s="1"/>
  <c r="C18" i="14" s="1"/>
  <c r="D16" i="15" s="1"/>
  <c r="H59" i="10"/>
  <c r="C30" i="4"/>
  <c r="F14" i="34"/>
  <c r="C14" i="4"/>
  <c r="M10" i="14"/>
  <c r="N9" i="15" s="1"/>
  <c r="G10" i="14"/>
  <c r="H9" i="15" s="1"/>
  <c r="L8" i="14"/>
  <c r="M7" i="15" s="1"/>
  <c r="C13" i="4"/>
  <c r="D17" i="12"/>
  <c r="C15" i="10" s="1"/>
  <c r="C17" i="14" s="1"/>
  <c r="D23" i="12"/>
  <c r="C21" i="10" s="1"/>
  <c r="C23" i="14" s="1"/>
  <c r="D21" i="15" s="1"/>
  <c r="J7" i="19"/>
  <c r="J19" i="19" s="1"/>
  <c r="F17" i="19" s="1"/>
  <c r="J7" i="34"/>
  <c r="J18" i="34" s="1"/>
  <c r="F24" i="19"/>
  <c r="D11" i="12"/>
  <c r="D12" i="12" s="1"/>
  <c r="D45" i="12"/>
  <c r="C40" i="10" s="1"/>
  <c r="C40" i="14" s="1"/>
  <c r="B30" i="10"/>
  <c r="B31" i="14" s="1"/>
  <c r="D31" i="14" s="1"/>
  <c r="D33" i="12"/>
  <c r="C30" i="10" s="1"/>
  <c r="C31" i="14" s="1"/>
  <c r="D28" i="15" s="1"/>
  <c r="C35" i="4"/>
  <c r="B22" i="10"/>
  <c r="D24" i="12"/>
  <c r="C22" i="10" s="1"/>
  <c r="C24" i="14" s="1"/>
  <c r="D22" i="15" s="1"/>
  <c r="F20" i="34"/>
  <c r="J21" i="34"/>
  <c r="C38" i="4"/>
  <c r="D48" i="12"/>
  <c r="C43" i="10" s="1"/>
  <c r="C43" i="14" s="1"/>
  <c r="D39" i="15" s="1"/>
  <c r="C25" i="12"/>
  <c r="B23" i="10" s="1"/>
  <c r="B25" i="14" s="1"/>
  <c r="B41" i="10"/>
  <c r="B41" i="14" s="1"/>
  <c r="F41" i="14" s="1"/>
  <c r="D20" i="12"/>
  <c r="C18" i="10" s="1"/>
  <c r="C20" i="14" s="1"/>
  <c r="D18" i="15" s="1"/>
  <c r="C16" i="4"/>
  <c r="B18" i="10"/>
  <c r="B20" i="14" s="1"/>
  <c r="H20" i="14" s="1"/>
  <c r="J21" i="19"/>
  <c r="F13" i="19" s="1"/>
  <c r="G60" i="10"/>
  <c r="J20" i="19"/>
  <c r="F12" i="19" s="1"/>
  <c r="B15" i="14"/>
  <c r="H15" i="14" s="1"/>
  <c r="K60" i="10"/>
  <c r="C27" i="4"/>
  <c r="B31" i="10"/>
  <c r="B32" i="14" s="1"/>
  <c r="C29" i="15" s="1"/>
  <c r="M49" i="14"/>
  <c r="N44" i="15" s="1"/>
  <c r="B32" i="6"/>
  <c r="C32" i="6" s="1"/>
  <c r="B33" i="6" s="1"/>
  <c r="C33" i="6" s="1"/>
  <c r="E24" i="30"/>
  <c r="E38" i="30" s="1"/>
  <c r="E39" i="30" s="1"/>
  <c r="D38" i="30"/>
  <c r="D39" i="30" s="1"/>
  <c r="B25" i="17" s="1"/>
  <c r="D29" i="15"/>
  <c r="D32" i="15"/>
  <c r="G73" i="4"/>
  <c r="F73" i="4"/>
  <c r="F67" i="14" s="1"/>
  <c r="E73" i="4"/>
  <c r="E67" i="14" s="1"/>
  <c r="D73" i="4"/>
  <c r="D67" i="14" s="1"/>
  <c r="B67" i="14"/>
  <c r="C73" i="4"/>
  <c r="C67" i="14" s="1"/>
  <c r="F40" i="14"/>
  <c r="H40" i="14"/>
  <c r="D40" i="14"/>
  <c r="C36" i="15"/>
  <c r="J40" i="14"/>
  <c r="F9" i="15"/>
  <c r="F26" i="19"/>
  <c r="J31" i="19"/>
  <c r="F45" i="19" s="1"/>
  <c r="D34" i="15"/>
  <c r="I44" i="15"/>
  <c r="I49" i="14"/>
  <c r="J44" i="15" s="1"/>
  <c r="B6" i="26"/>
  <c r="D6" i="26" s="1"/>
  <c r="E6" i="26" s="1"/>
  <c r="C7" i="21"/>
  <c r="B7" i="21"/>
  <c r="K44" i="15"/>
  <c r="K49" i="14"/>
  <c r="L44" i="15" s="1"/>
  <c r="F12" i="15"/>
  <c r="L13" i="14"/>
  <c r="M12" i="15" s="1"/>
  <c r="J22" i="19"/>
  <c r="F15" i="19" s="1"/>
  <c r="J15" i="19"/>
  <c r="F8" i="15"/>
  <c r="C17" i="15"/>
  <c r="J19" i="14"/>
  <c r="D19" i="14"/>
  <c r="F19" i="14"/>
  <c r="H19" i="14"/>
  <c r="G44" i="15"/>
  <c r="G49" i="14"/>
  <c r="H44" i="15" s="1"/>
  <c r="F11" i="15"/>
  <c r="L12" i="14"/>
  <c r="M11" i="15" s="1"/>
  <c r="E44" i="15"/>
  <c r="E49" i="14"/>
  <c r="D17" i="15"/>
  <c r="J15" i="34"/>
  <c r="B15" i="18"/>
  <c r="I47" i="14"/>
  <c r="J42" i="15" s="1"/>
  <c r="I42" i="15"/>
  <c r="C16" i="15"/>
  <c r="J18" i="14"/>
  <c r="H18" i="14"/>
  <c r="F18" i="14"/>
  <c r="D18" i="14"/>
  <c r="K63" i="10"/>
  <c r="H63" i="10"/>
  <c r="G63" i="10"/>
  <c r="B17" i="14"/>
  <c r="F15" i="34"/>
  <c r="D43" i="14"/>
  <c r="C39" i="15"/>
  <c r="J43" i="14"/>
  <c r="H43" i="14"/>
  <c r="F43" i="14"/>
  <c r="D38" i="15"/>
  <c r="D33" i="15"/>
  <c r="B11" i="18" l="1"/>
  <c r="D29" i="14"/>
  <c r="J29" i="14"/>
  <c r="F29" i="14"/>
  <c r="H29" i="14"/>
  <c r="B24" i="14"/>
  <c r="C22" i="15" s="1"/>
  <c r="B22" i="14"/>
  <c r="H22" i="14" s="1"/>
  <c r="I20" i="15" s="1"/>
  <c r="C31" i="15"/>
  <c r="F34" i="14"/>
  <c r="G34" i="14" s="1"/>
  <c r="H31" i="15" s="1"/>
  <c r="H34" i="14"/>
  <c r="I31" i="15" s="1"/>
  <c r="C38" i="15"/>
  <c r="D23" i="14"/>
  <c r="E21" i="15" s="1"/>
  <c r="C21" i="15"/>
  <c r="D34" i="14"/>
  <c r="E31" i="15" s="1"/>
  <c r="H23" i="14"/>
  <c r="I21" i="15" s="1"/>
  <c r="J23" i="14"/>
  <c r="K21" i="15" s="1"/>
  <c r="D33" i="14"/>
  <c r="E33" i="14" s="1"/>
  <c r="J33" i="14"/>
  <c r="K30" i="15" s="1"/>
  <c r="F37" i="14"/>
  <c r="G34" i="15" s="1"/>
  <c r="E42" i="15"/>
  <c r="H37" i="14"/>
  <c r="I34" i="15" s="1"/>
  <c r="D37" i="14"/>
  <c r="E34" i="15" s="1"/>
  <c r="C34" i="15"/>
  <c r="D36" i="14"/>
  <c r="E36" i="14" s="1"/>
  <c r="F36" i="14"/>
  <c r="G36" i="14" s="1"/>
  <c r="H33" i="15" s="1"/>
  <c r="H36" i="14"/>
  <c r="I33" i="15" s="1"/>
  <c r="C33" i="15"/>
  <c r="C32" i="15"/>
  <c r="D35" i="14"/>
  <c r="E32" i="15" s="1"/>
  <c r="F35" i="14"/>
  <c r="G32" i="15" s="1"/>
  <c r="H35" i="14"/>
  <c r="I32" i="15" s="1"/>
  <c r="F33" i="14"/>
  <c r="G33" i="14" s="1"/>
  <c r="H30" i="15" s="1"/>
  <c r="H33" i="14"/>
  <c r="I30" i="15" s="1"/>
  <c r="L9" i="14"/>
  <c r="M8" i="15" s="1"/>
  <c r="H42" i="14"/>
  <c r="I38" i="15" s="1"/>
  <c r="F42" i="14"/>
  <c r="G38" i="15" s="1"/>
  <c r="J42" i="14"/>
  <c r="K38" i="15" s="1"/>
  <c r="G47" i="14"/>
  <c r="H42" i="15" s="1"/>
  <c r="J18" i="19"/>
  <c r="F16" i="19" s="1"/>
  <c r="F14" i="19"/>
  <c r="M47" i="14"/>
  <c r="N42" i="15" s="1"/>
  <c r="K42" i="15"/>
  <c r="K47" i="14"/>
  <c r="L42" i="15" s="1"/>
  <c r="H28" i="14"/>
  <c r="I28" i="14" s="1"/>
  <c r="J25" i="15" s="1"/>
  <c r="J32" i="14"/>
  <c r="K29" i="15" s="1"/>
  <c r="J28" i="14"/>
  <c r="K25" i="15" s="1"/>
  <c r="F28" i="14"/>
  <c r="G28" i="14" s="1"/>
  <c r="H25" i="15" s="1"/>
  <c r="F14" i="14"/>
  <c r="G14" i="14" s="1"/>
  <c r="H13" i="15" s="1"/>
  <c r="H14" i="14"/>
  <c r="I13" i="15" s="1"/>
  <c r="J14" i="14"/>
  <c r="K14" i="14" s="1"/>
  <c r="L13" i="15" s="1"/>
  <c r="D14" i="14"/>
  <c r="E14" i="14" s="1"/>
  <c r="B12" i="2"/>
  <c r="L10" i="14"/>
  <c r="M9" i="15" s="1"/>
  <c r="C25" i="15"/>
  <c r="J19" i="34"/>
  <c r="J24" i="14"/>
  <c r="K22" i="15" s="1"/>
  <c r="C37" i="15"/>
  <c r="C14" i="15"/>
  <c r="F31" i="14"/>
  <c r="G28" i="15" s="1"/>
  <c r="H31" i="14"/>
  <c r="I31" i="14" s="1"/>
  <c r="J28" i="15" s="1"/>
  <c r="J31" i="14"/>
  <c r="K28" i="15" s="1"/>
  <c r="H32" i="14"/>
  <c r="I32" i="14" s="1"/>
  <c r="J29" i="15" s="1"/>
  <c r="C28" i="15"/>
  <c r="F32" i="14"/>
  <c r="D32" i="14"/>
  <c r="E32" i="14" s="1"/>
  <c r="D25" i="12"/>
  <c r="C23" i="10" s="1"/>
  <c r="C25" i="14" s="1"/>
  <c r="D41" i="14"/>
  <c r="E37" i="15" s="1"/>
  <c r="H41" i="14"/>
  <c r="I37" i="15" s="1"/>
  <c r="J41" i="14"/>
  <c r="K37" i="15" s="1"/>
  <c r="B10" i="18"/>
  <c r="C12" i="10"/>
  <c r="C15" i="14" s="1"/>
  <c r="D14" i="15" s="1"/>
  <c r="C26" i="12"/>
  <c r="B24" i="10" s="1"/>
  <c r="F20" i="14"/>
  <c r="G18" i="15" s="1"/>
  <c r="J20" i="14"/>
  <c r="K18" i="15" s="1"/>
  <c r="D20" i="14"/>
  <c r="E18" i="15" s="1"/>
  <c r="C18" i="15"/>
  <c r="J15" i="14"/>
  <c r="K14" i="15" s="1"/>
  <c r="D15" i="14"/>
  <c r="E14" i="15" s="1"/>
  <c r="F15" i="14"/>
  <c r="G15" i="14" s="1"/>
  <c r="H14" i="15" s="1"/>
  <c r="M40" i="14"/>
  <c r="N36" i="15" s="1"/>
  <c r="M18" i="14"/>
  <c r="N16" i="15" s="1"/>
  <c r="M19" i="14"/>
  <c r="N17" i="15" s="1"/>
  <c r="I16" i="15"/>
  <c r="I18" i="14"/>
  <c r="J16" i="15" s="1"/>
  <c r="K36" i="15"/>
  <c r="K40" i="14"/>
  <c r="L36" i="15" s="1"/>
  <c r="D25" i="15"/>
  <c r="G21" i="15"/>
  <c r="G23" i="14"/>
  <c r="H21" i="15" s="1"/>
  <c r="K16" i="15"/>
  <c r="K18" i="14"/>
  <c r="L16" i="15" s="1"/>
  <c r="F17" i="34"/>
  <c r="J16" i="34"/>
  <c r="F16" i="34"/>
  <c r="J17" i="34"/>
  <c r="E36" i="15"/>
  <c r="E40" i="14"/>
  <c r="F36" i="15" s="1"/>
  <c r="B34" i="6"/>
  <c r="C34" i="6" s="1"/>
  <c r="B35" i="6" s="1"/>
  <c r="C35" i="6" s="1"/>
  <c r="E38" i="15"/>
  <c r="E42" i="14"/>
  <c r="K31" i="15"/>
  <c r="K34" i="14"/>
  <c r="L31" i="15" s="1"/>
  <c r="I36" i="15"/>
  <c r="I40" i="14"/>
  <c r="J36" i="15" s="1"/>
  <c r="K35" i="14"/>
  <c r="L32" i="15" s="1"/>
  <c r="K32" i="15"/>
  <c r="G36" i="15"/>
  <c r="G40" i="14"/>
  <c r="H36" i="15" s="1"/>
  <c r="I17" i="15"/>
  <c r="I19" i="14"/>
  <c r="J17" i="15" s="1"/>
  <c r="E26" i="15"/>
  <c r="E29" i="14"/>
  <c r="I18" i="15"/>
  <c r="I20" i="14"/>
  <c r="J18" i="15" s="1"/>
  <c r="K33" i="15"/>
  <c r="K36" i="14"/>
  <c r="L33" i="15" s="1"/>
  <c r="I22" i="14"/>
  <c r="J20" i="15" s="1"/>
  <c r="G17" i="15"/>
  <c r="G19" i="14"/>
  <c r="H17" i="15" s="1"/>
  <c r="G29" i="14"/>
  <c r="H26" i="15" s="1"/>
  <c r="G26" i="15"/>
  <c r="J17" i="14"/>
  <c r="H17" i="14"/>
  <c r="C15" i="15"/>
  <c r="F17" i="14"/>
  <c r="D17" i="14"/>
  <c r="E19" i="14"/>
  <c r="E17" i="15"/>
  <c r="K29" i="14"/>
  <c r="L26" i="15" s="1"/>
  <c r="K26" i="15"/>
  <c r="G39" i="15"/>
  <c r="G43" i="14"/>
  <c r="H39" i="15" s="1"/>
  <c r="E28" i="15"/>
  <c r="E31" i="14"/>
  <c r="K19" i="14"/>
  <c r="L17" i="15" s="1"/>
  <c r="K17" i="15"/>
  <c r="M29" i="14"/>
  <c r="N26" i="15" s="1"/>
  <c r="C23" i="15"/>
  <c r="J25" i="14"/>
  <c r="H25" i="14"/>
  <c r="F25" i="14"/>
  <c r="D25" i="14"/>
  <c r="I39" i="15"/>
  <c r="I43" i="14"/>
  <c r="J39" i="15" s="1"/>
  <c r="F42" i="15"/>
  <c r="I29" i="14"/>
  <c r="J26" i="15" s="1"/>
  <c r="I26" i="15"/>
  <c r="K43" i="14"/>
  <c r="L39" i="15" s="1"/>
  <c r="K39" i="15"/>
  <c r="F44" i="15"/>
  <c r="L49" i="14"/>
  <c r="M44" i="15" s="1"/>
  <c r="E10" i="27"/>
  <c r="B9" i="26"/>
  <c r="E28" i="14"/>
  <c r="F25" i="15" s="1"/>
  <c r="E25" i="15"/>
  <c r="M43" i="14"/>
  <c r="N39" i="15" s="1"/>
  <c r="D15" i="15"/>
  <c r="E43" i="14"/>
  <c r="E39" i="15"/>
  <c r="I14" i="15"/>
  <c r="I15" i="14"/>
  <c r="J14" i="15" s="1"/>
  <c r="E16" i="15"/>
  <c r="E18" i="14"/>
  <c r="D36" i="15"/>
  <c r="D20" i="15"/>
  <c r="G16" i="15"/>
  <c r="G18" i="14"/>
  <c r="H16" i="15" s="1"/>
  <c r="F28" i="19"/>
  <c r="J16" i="19"/>
  <c r="J17" i="19"/>
  <c r="F30" i="19" s="1"/>
  <c r="K34" i="15"/>
  <c r="K37" i="14"/>
  <c r="L34" i="15" s="1"/>
  <c r="G41" i="14"/>
  <c r="H37" i="15" s="1"/>
  <c r="G37" i="15"/>
  <c r="F24" i="14" l="1"/>
  <c r="G24" i="14" s="1"/>
  <c r="H22" i="15" s="1"/>
  <c r="G31" i="15"/>
  <c r="H24" i="14"/>
  <c r="I22" i="15" s="1"/>
  <c r="C20" i="15"/>
  <c r="I34" i="14"/>
  <c r="J31" i="15" s="1"/>
  <c r="D24" i="14"/>
  <c r="E22" i="15" s="1"/>
  <c r="F22" i="14"/>
  <c r="E23" i="14"/>
  <c r="G42" i="14"/>
  <c r="H38" i="15" s="1"/>
  <c r="E33" i="15"/>
  <c r="J22" i="14"/>
  <c r="D22" i="14"/>
  <c r="E30" i="15"/>
  <c r="I23" i="14"/>
  <c r="J21" i="15" s="1"/>
  <c r="E34" i="14"/>
  <c r="L34" i="14" s="1"/>
  <c r="M31" i="15" s="1"/>
  <c r="M34" i="14"/>
  <c r="N31" i="15" s="1"/>
  <c r="K33" i="14"/>
  <c r="L30" i="15" s="1"/>
  <c r="M23" i="14"/>
  <c r="N21" i="15" s="1"/>
  <c r="K23" i="14"/>
  <c r="L21" i="15" s="1"/>
  <c r="G37" i="14"/>
  <c r="H34" i="15" s="1"/>
  <c r="I33" i="14"/>
  <c r="J30" i="15" s="1"/>
  <c r="I37" i="14"/>
  <c r="J34" i="15" s="1"/>
  <c r="M37" i="14"/>
  <c r="N34" i="15" s="1"/>
  <c r="E37" i="14"/>
  <c r="F34" i="15" s="1"/>
  <c r="G33" i="15"/>
  <c r="I25" i="15"/>
  <c r="I28" i="15"/>
  <c r="K42" i="14"/>
  <c r="L38" i="15" s="1"/>
  <c r="M36" i="14"/>
  <c r="N33" i="15" s="1"/>
  <c r="I36" i="14"/>
  <c r="J33" i="15" s="1"/>
  <c r="L47" i="14"/>
  <c r="M42" i="15" s="1"/>
  <c r="K13" i="15"/>
  <c r="I24" i="14"/>
  <c r="J22" i="15" s="1"/>
  <c r="E35" i="14"/>
  <c r="F32" i="15" s="1"/>
  <c r="I14" i="14"/>
  <c r="J13" i="15" s="1"/>
  <c r="G35" i="14"/>
  <c r="H32" i="15" s="1"/>
  <c r="K28" i="14"/>
  <c r="L25" i="15" s="1"/>
  <c r="M35" i="14"/>
  <c r="N32" i="15" s="1"/>
  <c r="I35" i="14"/>
  <c r="J32" i="15" s="1"/>
  <c r="G13" i="15"/>
  <c r="M33" i="14"/>
  <c r="N30" i="15" s="1"/>
  <c r="G30" i="15"/>
  <c r="I42" i="14"/>
  <c r="J38" i="15" s="1"/>
  <c r="M42" i="14"/>
  <c r="N38" i="15" s="1"/>
  <c r="M28" i="14"/>
  <c r="N25" i="15" s="1"/>
  <c r="G25" i="15"/>
  <c r="G14" i="15"/>
  <c r="M14" i="14"/>
  <c r="N13" i="15" s="1"/>
  <c r="E15" i="14"/>
  <c r="F14" i="15" s="1"/>
  <c r="E29" i="15"/>
  <c r="E13" i="15"/>
  <c r="K31" i="14"/>
  <c r="L28" i="15" s="1"/>
  <c r="I29" i="15"/>
  <c r="I41" i="14"/>
  <c r="J37" i="15" s="1"/>
  <c r="K24" i="14"/>
  <c r="L22" i="15" s="1"/>
  <c r="K32" i="14"/>
  <c r="L29" i="15" s="1"/>
  <c r="G20" i="14"/>
  <c r="H18" i="15" s="1"/>
  <c r="M24" i="14"/>
  <c r="N22" i="15" s="1"/>
  <c r="G31" i="14"/>
  <c r="H28" i="15" s="1"/>
  <c r="M32" i="14"/>
  <c r="N29" i="15" s="1"/>
  <c r="G22" i="15"/>
  <c r="G29" i="15"/>
  <c r="E41" i="14"/>
  <c r="F37" i="15" s="1"/>
  <c r="G32" i="14"/>
  <c r="H29" i="15" s="1"/>
  <c r="K41" i="14"/>
  <c r="L37" i="15" s="1"/>
  <c r="M31" i="14"/>
  <c r="N28" i="15" s="1"/>
  <c r="E20" i="14"/>
  <c r="F18" i="15" s="1"/>
  <c r="M41" i="14"/>
  <c r="N37" i="15" s="1"/>
  <c r="D26" i="12"/>
  <c r="C24" i="10" s="1"/>
  <c r="C26" i="14" s="1"/>
  <c r="B13" i="2"/>
  <c r="M20" i="14"/>
  <c r="N18" i="15" s="1"/>
  <c r="K20" i="14"/>
  <c r="L18" i="15" s="1"/>
  <c r="M15" i="14"/>
  <c r="N14" i="15" s="1"/>
  <c r="K15" i="14"/>
  <c r="L14" i="15" s="1"/>
  <c r="M17" i="14"/>
  <c r="N15" i="15" s="1"/>
  <c r="B8" i="17"/>
  <c r="D6" i="29"/>
  <c r="D14" i="29" s="1"/>
  <c r="B19" i="17"/>
  <c r="B14" i="18"/>
  <c r="D32" i="12"/>
  <c r="C49" i="10"/>
  <c r="C48" i="14" s="1"/>
  <c r="D6" i="13"/>
  <c r="D9" i="13" s="1"/>
  <c r="B36" i="6"/>
  <c r="C36" i="6" s="1"/>
  <c r="D18" i="28"/>
  <c r="D17" i="28"/>
  <c r="D19" i="28"/>
  <c r="L40" i="14"/>
  <c r="M36" i="15" s="1"/>
  <c r="F17" i="15"/>
  <c r="L19" i="14"/>
  <c r="M17" i="15" s="1"/>
  <c r="F30" i="15"/>
  <c r="F29" i="15"/>
  <c r="F13" i="15"/>
  <c r="E15" i="15"/>
  <c r="E17" i="14"/>
  <c r="G15" i="15"/>
  <c r="G17" i="14"/>
  <c r="H15" i="15" s="1"/>
  <c r="F28" i="15"/>
  <c r="E23" i="15"/>
  <c r="E25" i="14"/>
  <c r="F23" i="15" s="1"/>
  <c r="I15" i="15"/>
  <c r="I17" i="14"/>
  <c r="J15" i="15" s="1"/>
  <c r="G25" i="14"/>
  <c r="H23" i="15" s="1"/>
  <c r="G23" i="15"/>
  <c r="K15" i="15"/>
  <c r="K17" i="14"/>
  <c r="L15" i="15" s="1"/>
  <c r="F26" i="15"/>
  <c r="L29" i="14"/>
  <c r="M26" i="15" s="1"/>
  <c r="F16" i="15"/>
  <c r="L18" i="14"/>
  <c r="M16" i="15" s="1"/>
  <c r="I23" i="15"/>
  <c r="I25" i="14"/>
  <c r="J23" i="15" s="1"/>
  <c r="F33" i="15"/>
  <c r="K25" i="14"/>
  <c r="L23" i="15" s="1"/>
  <c r="K23" i="15"/>
  <c r="M25" i="14"/>
  <c r="N23" i="15" s="1"/>
  <c r="B26" i="14"/>
  <c r="H7" i="11"/>
  <c r="F7" i="11"/>
  <c r="F8" i="11" s="1"/>
  <c r="F38" i="15"/>
  <c r="F21" i="15"/>
  <c r="F39" i="15"/>
  <c r="L43" i="14"/>
  <c r="M39" i="15" s="1"/>
  <c r="D23" i="15"/>
  <c r="F31" i="15" l="1"/>
  <c r="E24" i="14"/>
  <c r="F22" i="15" s="1"/>
  <c r="L23" i="14"/>
  <c r="M21" i="15" s="1"/>
  <c r="G20" i="15"/>
  <c r="G22" i="14"/>
  <c r="H20" i="15" s="1"/>
  <c r="E22" i="14"/>
  <c r="E20" i="15"/>
  <c r="M22" i="14"/>
  <c r="N20" i="15" s="1"/>
  <c r="K20" i="15"/>
  <c r="K22" i="14"/>
  <c r="L20" i="15" s="1"/>
  <c r="L37" i="14"/>
  <c r="M34" i="15" s="1"/>
  <c r="L33" i="14"/>
  <c r="M30" i="15" s="1"/>
  <c r="L28" i="14"/>
  <c r="M25" i="15" s="1"/>
  <c r="L36" i="14"/>
  <c r="M33" i="15" s="1"/>
  <c r="L24" i="14"/>
  <c r="M22" i="15" s="1"/>
  <c r="L14" i="14"/>
  <c r="M13" i="15" s="1"/>
  <c r="L35" i="14"/>
  <c r="M32" i="15" s="1"/>
  <c r="L31" i="14"/>
  <c r="M28" i="15" s="1"/>
  <c r="L42" i="14"/>
  <c r="M38" i="15" s="1"/>
  <c r="L32" i="14"/>
  <c r="M29" i="15" s="1"/>
  <c r="L41" i="14"/>
  <c r="M37" i="15" s="1"/>
  <c r="L20" i="14"/>
  <c r="M18" i="15" s="1"/>
  <c r="L15" i="14"/>
  <c r="M14" i="15" s="1"/>
  <c r="C24" i="15"/>
  <c r="J26" i="14"/>
  <c r="D26" i="14"/>
  <c r="F26" i="14"/>
  <c r="H26" i="14"/>
  <c r="L25" i="14"/>
  <c r="M23" i="15" s="1"/>
  <c r="F15" i="15"/>
  <c r="L17" i="14"/>
  <c r="M15" i="15" s="1"/>
  <c r="D24" i="15"/>
  <c r="B6" i="29"/>
  <c r="C6" i="29" s="1"/>
  <c r="C14" i="29" s="1"/>
  <c r="B32" i="12"/>
  <c r="C32" i="12" s="1"/>
  <c r="B49" i="10"/>
  <c r="B48" i="14" s="1"/>
  <c r="C6" i="13"/>
  <c r="C9" i="13" s="1"/>
  <c r="B43" i="6"/>
  <c r="C43" i="6" s="1"/>
  <c r="D43" i="15"/>
  <c r="C29" i="10"/>
  <c r="C30" i="14" s="1"/>
  <c r="D40" i="12"/>
  <c r="B6" i="27"/>
  <c r="B8" i="30"/>
  <c r="B15" i="32"/>
  <c r="B7" i="32"/>
  <c r="B4" i="23"/>
  <c r="B9" i="23" s="1"/>
  <c r="B4" i="22"/>
  <c r="B29" i="17" s="1"/>
  <c r="B6" i="24"/>
  <c r="B6" i="17"/>
  <c r="F10" i="11"/>
  <c r="H6" i="1"/>
  <c r="F9" i="11"/>
  <c r="F19" i="11"/>
  <c r="H8" i="11"/>
  <c r="B52" i="14"/>
  <c r="E4" i="14"/>
  <c r="F18" i="11"/>
  <c r="F17" i="11"/>
  <c r="C8" i="25"/>
  <c r="D8" i="25" s="1"/>
  <c r="F20" i="15" l="1"/>
  <c r="L22" i="14"/>
  <c r="M20" i="15" s="1"/>
  <c r="M26" i="14"/>
  <c r="N24" i="15" s="1"/>
  <c r="J23" i="34"/>
  <c r="J23" i="19"/>
  <c r="B16" i="30"/>
  <c r="C47" i="4" s="1"/>
  <c r="F52" i="10"/>
  <c r="G52" i="10" s="1"/>
  <c r="B47" i="4"/>
  <c r="F52" i="14"/>
  <c r="C46" i="15"/>
  <c r="K4" i="15"/>
  <c r="D52" i="14"/>
  <c r="C52" i="14"/>
  <c r="J52" i="14"/>
  <c r="H52" i="14"/>
  <c r="C6" i="24"/>
  <c r="B9" i="30"/>
  <c r="B17" i="30" s="1"/>
  <c r="B16" i="32"/>
  <c r="B7" i="23"/>
  <c r="C7" i="32"/>
  <c r="C43" i="17" s="1"/>
  <c r="B7" i="27"/>
  <c r="B5" i="22"/>
  <c r="B9" i="17"/>
  <c r="H10" i="11"/>
  <c r="J10" i="11" s="1"/>
  <c r="H7" i="1"/>
  <c r="H9" i="11"/>
  <c r="J9" i="11" s="1"/>
  <c r="H19" i="11"/>
  <c r="H4" i="14"/>
  <c r="H18" i="11"/>
  <c r="J18" i="11" s="1"/>
  <c r="H17" i="11"/>
  <c r="J17" i="11" s="1"/>
  <c r="B12" i="30"/>
  <c r="B4" i="18" s="1"/>
  <c r="B22" i="32"/>
  <c r="B8" i="32"/>
  <c r="B9" i="27"/>
  <c r="B7" i="24"/>
  <c r="B11" i="24" s="1"/>
  <c r="B7" i="17"/>
  <c r="J48" i="14"/>
  <c r="C43" i="15"/>
  <c r="H48" i="14"/>
  <c r="D48" i="14"/>
  <c r="F48" i="14"/>
  <c r="J8" i="11"/>
  <c r="C25" i="4"/>
  <c r="B29" i="10"/>
  <c r="B30" i="14" s="1"/>
  <c r="C40" i="12"/>
  <c r="B14" i="2"/>
  <c r="C37" i="10"/>
  <c r="C38" i="14" s="1"/>
  <c r="D27" i="15"/>
  <c r="I24" i="15"/>
  <c r="I26" i="14"/>
  <c r="J24" i="15" s="1"/>
  <c r="B22" i="2"/>
  <c r="F5" i="2"/>
  <c r="G24" i="15"/>
  <c r="G26" i="14"/>
  <c r="H24" i="15" s="1"/>
  <c r="E24" i="15"/>
  <c r="E26" i="14"/>
  <c r="K24" i="15"/>
  <c r="K26" i="14"/>
  <c r="L24" i="15" s="1"/>
  <c r="B43" i="17"/>
  <c r="C9" i="32" l="1"/>
  <c r="C45" i="17" s="1"/>
  <c r="G43" i="15"/>
  <c r="G48" i="14"/>
  <c r="H43" i="15" s="1"/>
  <c r="E43" i="15"/>
  <c r="E48" i="14"/>
  <c r="B23" i="32"/>
  <c r="B51" i="17" s="1"/>
  <c r="C8" i="32"/>
  <c r="C44" i="17" s="1"/>
  <c r="C7" i="24"/>
  <c r="C11" i="24" s="1"/>
  <c r="C9" i="26" s="1"/>
  <c r="D9" i="26" s="1"/>
  <c r="E9" i="26" s="1"/>
  <c r="B13" i="30"/>
  <c r="B8" i="31"/>
  <c r="C8" i="31" s="1"/>
  <c r="B10" i="27"/>
  <c r="H22" i="11"/>
  <c r="B8" i="2" s="1"/>
  <c r="B49" i="12"/>
  <c r="C49" i="12" s="1"/>
  <c r="C23" i="2"/>
  <c r="D46" i="15"/>
  <c r="K5" i="15"/>
  <c r="C5" i="16"/>
  <c r="I43" i="15"/>
  <c r="I48" i="14"/>
  <c r="J43" i="15" s="1"/>
  <c r="E52" i="14"/>
  <c r="E46" i="15"/>
  <c r="K48" i="14"/>
  <c r="L43" i="15" s="1"/>
  <c r="K43" i="15"/>
  <c r="M48" i="14"/>
  <c r="N43" i="15" s="1"/>
  <c r="B7" i="2"/>
  <c r="A32" i="2" s="1"/>
  <c r="C22" i="2"/>
  <c r="C24" i="2" s="1"/>
  <c r="G46" i="15"/>
  <c r="G52" i="14"/>
  <c r="J19" i="11"/>
  <c r="H20" i="11" s="1"/>
  <c r="J24" i="34"/>
  <c r="F24" i="34"/>
  <c r="B30" i="17"/>
  <c r="B6" i="22"/>
  <c r="J24" i="19"/>
  <c r="F36" i="19" s="1"/>
  <c r="B8" i="22"/>
  <c r="B53" i="10"/>
  <c r="C40" i="4"/>
  <c r="C53" i="10"/>
  <c r="H5" i="2"/>
  <c r="B23" i="2"/>
  <c r="D35" i="15"/>
  <c r="B44" i="17"/>
  <c r="B50" i="17"/>
  <c r="F24" i="15"/>
  <c r="L26" i="14"/>
  <c r="M24" i="15" s="1"/>
  <c r="B37" i="10"/>
  <c r="B38" i="14" s="1"/>
  <c r="J30" i="14"/>
  <c r="F30" i="14"/>
  <c r="D30" i="14"/>
  <c r="C27" i="15"/>
  <c r="H30" i="14"/>
  <c r="I52" i="14"/>
  <c r="I46" i="15"/>
  <c r="K52" i="14"/>
  <c r="K46" i="15"/>
  <c r="B9" i="22"/>
  <c r="B10" i="30"/>
  <c r="B13" i="17"/>
  <c r="F7" i="2" s="1"/>
  <c r="B17" i="32"/>
  <c r="M52" i="14"/>
  <c r="N46" i="15" s="1"/>
  <c r="C10" i="32" l="1"/>
  <c r="C46" i="17" s="1"/>
  <c r="K30" i="14"/>
  <c r="L27" i="15" s="1"/>
  <c r="K27" i="15"/>
  <c r="C35" i="15"/>
  <c r="F38" i="14"/>
  <c r="D38" i="14"/>
  <c r="J38" i="14"/>
  <c r="H38" i="14"/>
  <c r="C25" i="2"/>
  <c r="C26" i="2" s="1"/>
  <c r="D49" i="12"/>
  <c r="C39" i="4"/>
  <c r="B44" i="10"/>
  <c r="B44" i="14" s="1"/>
  <c r="C50" i="12"/>
  <c r="J28" i="34"/>
  <c r="F40" i="34" s="1"/>
  <c r="F28" i="34"/>
  <c r="J28" i="19"/>
  <c r="F40" i="19" s="1"/>
  <c r="B34" i="17"/>
  <c r="D8" i="31"/>
  <c r="D9" i="31" s="1"/>
  <c r="C9" i="31"/>
  <c r="B25" i="28"/>
  <c r="B5" i="18"/>
  <c r="L46" i="15"/>
  <c r="C9" i="16"/>
  <c r="B20" i="18"/>
  <c r="B33" i="17"/>
  <c r="B7" i="25"/>
  <c r="H9" i="27"/>
  <c r="B6" i="28"/>
  <c r="J27" i="19"/>
  <c r="F39" i="19" s="1"/>
  <c r="J27" i="34"/>
  <c r="F39" i="34" s="1"/>
  <c r="B12" i="17"/>
  <c r="F55" i="10"/>
  <c r="G55" i="10" s="1"/>
  <c r="F46" i="15"/>
  <c r="C6" i="16"/>
  <c r="C8" i="16"/>
  <c r="J46" i="15"/>
  <c r="B4" i="28"/>
  <c r="H6" i="27"/>
  <c r="B5" i="25"/>
  <c r="B25" i="32"/>
  <c r="F15" i="22"/>
  <c r="J25" i="34"/>
  <c r="F37" i="34" s="1"/>
  <c r="F25" i="34"/>
  <c r="J25" i="19"/>
  <c r="F37" i="19" s="1"/>
  <c r="B18" i="18"/>
  <c r="B10" i="17"/>
  <c r="E22" i="2" s="1"/>
  <c r="E7" i="32"/>
  <c r="B5" i="23"/>
  <c r="B31" i="17"/>
  <c r="B7" i="22"/>
  <c r="F16" i="22" s="1"/>
  <c r="C41" i="4"/>
  <c r="F53" i="10"/>
  <c r="G53" i="10" s="1"/>
  <c r="I27" i="15"/>
  <c r="I30" i="14"/>
  <c r="J27" i="15" s="1"/>
  <c r="F43" i="15"/>
  <c r="L48" i="14"/>
  <c r="M43" i="15" s="1"/>
  <c r="M30" i="14"/>
  <c r="N27" i="15" s="1"/>
  <c r="E27" i="15"/>
  <c r="E30" i="14"/>
  <c r="C11" i="32"/>
  <c r="B15" i="30"/>
  <c r="C12" i="24"/>
  <c r="B14" i="23"/>
  <c r="B11" i="27"/>
  <c r="B18" i="32"/>
  <c r="B19" i="32" s="1"/>
  <c r="B21" i="17"/>
  <c r="B16" i="17"/>
  <c r="H7" i="2" s="1"/>
  <c r="A30" i="2" s="1"/>
  <c r="B14" i="17"/>
  <c r="B10" i="22"/>
  <c r="B35" i="17" s="1"/>
  <c r="H21" i="11"/>
  <c r="H8" i="1"/>
  <c r="L52" i="14"/>
  <c r="G27" i="15"/>
  <c r="G30" i="14"/>
  <c r="H27" i="15" s="1"/>
  <c r="H46" i="15"/>
  <c r="C7" i="16"/>
  <c r="E15" i="22" l="1"/>
  <c r="J59" i="10" s="1"/>
  <c r="E8" i="25"/>
  <c r="F8" i="25" s="1"/>
  <c r="E19" i="22"/>
  <c r="J63" i="10" s="1"/>
  <c r="C12" i="16"/>
  <c r="M38" i="14"/>
  <c r="N35" i="15" s="1"/>
  <c r="C44" i="10"/>
  <c r="C44" i="14" s="1"/>
  <c r="D50" i="12"/>
  <c r="E5" i="27"/>
  <c r="A31" i="2"/>
  <c r="B27" i="18"/>
  <c r="B28" i="18"/>
  <c r="B26" i="18"/>
  <c r="B25" i="18"/>
  <c r="B24" i="18"/>
  <c r="B24" i="28"/>
  <c r="B6" i="18"/>
  <c r="B5" i="28"/>
  <c r="B11" i="17"/>
  <c r="B24" i="32"/>
  <c r="B52" i="17" s="1"/>
  <c r="J26" i="34"/>
  <c r="D7" i="32"/>
  <c r="F26" i="34"/>
  <c r="J26" i="19"/>
  <c r="H8" i="27"/>
  <c r="B32" i="17"/>
  <c r="B6" i="23"/>
  <c r="B10" i="23" s="1"/>
  <c r="B19" i="18"/>
  <c r="B6" i="25"/>
  <c r="F54" i="10"/>
  <c r="G54" i="10" s="1"/>
  <c r="U20" i="35"/>
  <c r="F17" i="22"/>
  <c r="I35" i="15"/>
  <c r="I38" i="14"/>
  <c r="J35" i="15" s="1"/>
  <c r="C47" i="17"/>
  <c r="J30" i="34"/>
  <c r="F42" i="34" s="1"/>
  <c r="F30" i="34"/>
  <c r="J30" i="19"/>
  <c r="F42" i="19" s="1"/>
  <c r="B53" i="17"/>
  <c r="B26" i="32"/>
  <c r="B54" i="17" s="1"/>
  <c r="K38" i="14"/>
  <c r="L35" i="15" s="1"/>
  <c r="K35" i="15"/>
  <c r="F27" i="15"/>
  <c r="L30" i="14"/>
  <c r="M27" i="15" s="1"/>
  <c r="E17" i="22"/>
  <c r="J61" i="10" s="1"/>
  <c r="F18" i="22"/>
  <c r="E5" i="25"/>
  <c r="F5" i="25" s="1"/>
  <c r="C5" i="25"/>
  <c r="D5" i="25" s="1"/>
  <c r="G5" i="25"/>
  <c r="E35" i="15"/>
  <c r="E38" i="14"/>
  <c r="G35" i="15"/>
  <c r="G38" i="14"/>
  <c r="H35" i="15" s="1"/>
  <c r="M46" i="15"/>
  <c r="B57" i="14"/>
  <c r="E43" i="17"/>
  <c r="E8" i="32"/>
  <c r="E9" i="32"/>
  <c r="E45" i="17" s="1"/>
  <c r="C7" i="25"/>
  <c r="D7" i="25" s="1"/>
  <c r="G7" i="25"/>
  <c r="E7" i="25"/>
  <c r="F7" i="25" s="1"/>
  <c r="E23" i="2"/>
  <c r="E25" i="2" s="1"/>
  <c r="E26" i="2" s="1"/>
  <c r="E24" i="2"/>
  <c r="F19" i="22"/>
  <c r="J41" i="34"/>
  <c r="F41" i="34"/>
  <c r="B12" i="27"/>
  <c r="C13" i="24"/>
  <c r="B15" i="23"/>
  <c r="E16" i="22"/>
  <c r="J60" i="10" s="1"/>
  <c r="H7" i="27"/>
  <c r="B45" i="10"/>
  <c r="B45" i="14" s="1"/>
  <c r="C52" i="12"/>
  <c r="E18" i="22"/>
  <c r="J62" i="10" s="1"/>
  <c r="H44" i="14"/>
  <c r="C40" i="15"/>
  <c r="J44" i="14"/>
  <c r="F44" i="14"/>
  <c r="D44" i="14"/>
  <c r="K40" i="15" l="1"/>
  <c r="K44" i="14"/>
  <c r="L40" i="15" s="1"/>
  <c r="D7" i="2"/>
  <c r="D22" i="2"/>
  <c r="I44" i="14"/>
  <c r="J40" i="15" s="1"/>
  <c r="I40" i="15"/>
  <c r="B52" i="10"/>
  <c r="C53" i="12"/>
  <c r="J45" i="14"/>
  <c r="F45" i="14"/>
  <c r="D45" i="14"/>
  <c r="C41" i="15"/>
  <c r="H45" i="14"/>
  <c r="C6" i="25"/>
  <c r="D6" i="25" s="1"/>
  <c r="G6" i="25"/>
  <c r="E6" i="25"/>
  <c r="F6" i="25" s="1"/>
  <c r="E44" i="17"/>
  <c r="E10" i="32"/>
  <c r="E11" i="32"/>
  <c r="E47" i="17" s="1"/>
  <c r="F38" i="19"/>
  <c r="J33" i="19"/>
  <c r="F47" i="19" s="1"/>
  <c r="E7" i="27"/>
  <c r="I10" i="27" s="1"/>
  <c r="E6" i="27"/>
  <c r="M44" i="14"/>
  <c r="N40" i="15" s="1"/>
  <c r="D43" i="17"/>
  <c r="D8" i="32"/>
  <c r="D9" i="32"/>
  <c r="D45" i="17" s="1"/>
  <c r="B15" i="2"/>
  <c r="C45" i="10"/>
  <c r="C45" i="14" s="1"/>
  <c r="D52" i="12"/>
  <c r="E44" i="14"/>
  <c r="F40" i="15" s="1"/>
  <c r="E40" i="15"/>
  <c r="B11" i="23"/>
  <c r="B12" i="23" s="1"/>
  <c r="B13" i="23" s="1"/>
  <c r="J33" i="34"/>
  <c r="F47" i="34" s="1"/>
  <c r="F38" i="34"/>
  <c r="D40" i="15"/>
  <c r="G44" i="14"/>
  <c r="H40" i="15" s="1"/>
  <c r="G40" i="15"/>
  <c r="F35" i="15"/>
  <c r="L38" i="14"/>
  <c r="M35" i="15" s="1"/>
  <c r="L44" i="14" l="1"/>
  <c r="M40" i="15" s="1"/>
  <c r="I41" i="15"/>
  <c r="I45" i="14"/>
  <c r="J41" i="15" s="1"/>
  <c r="E45" i="14"/>
  <c r="F41" i="15" s="1"/>
  <c r="E41" i="15"/>
  <c r="G41" i="15"/>
  <c r="G45" i="14"/>
  <c r="H41" i="15" s="1"/>
  <c r="M45" i="14"/>
  <c r="N41" i="15" s="1"/>
  <c r="K41" i="15"/>
  <c r="K45" i="14"/>
  <c r="L41" i="15" s="1"/>
  <c r="B51" i="14"/>
  <c r="B56" i="10"/>
  <c r="B54" i="10"/>
  <c r="B55" i="10"/>
  <c r="C52" i="10"/>
  <c r="B16" i="2"/>
  <c r="C15" i="2" s="1"/>
  <c r="D53" i="12"/>
  <c r="E46" i="17"/>
  <c r="B23" i="17"/>
  <c r="D41" i="15"/>
  <c r="D23" i="2"/>
  <c r="D25" i="2" s="1"/>
  <c r="D26" i="2" s="1"/>
  <c r="D24" i="2"/>
  <c r="D44" i="17"/>
  <c r="D10" i="32"/>
  <c r="D11" i="32"/>
  <c r="D47" i="17" s="1"/>
  <c r="B22" i="17" l="1"/>
  <c r="D46" i="17"/>
  <c r="C45" i="15"/>
  <c r="C48" i="15" s="1"/>
  <c r="F51" i="14"/>
  <c r="D51" i="14"/>
  <c r="J51" i="14"/>
  <c r="H51" i="14"/>
  <c r="B53" i="14"/>
  <c r="L45" i="14"/>
  <c r="M41" i="15" s="1"/>
  <c r="C16" i="2"/>
  <c r="C12" i="2"/>
  <c r="A29" i="2" s="1"/>
  <c r="C13" i="2"/>
  <c r="C14" i="2"/>
  <c r="C51" i="14"/>
  <c r="C56" i="10"/>
  <c r="C54" i="10"/>
  <c r="C55" i="10"/>
  <c r="M51" i="14" l="1"/>
  <c r="N45" i="15" s="1"/>
  <c r="N48" i="15" s="1"/>
  <c r="J53" i="14"/>
  <c r="H53" i="14"/>
  <c r="C47" i="15"/>
  <c r="C53" i="14"/>
  <c r="F53" i="14"/>
  <c r="D53" i="14"/>
  <c r="I45" i="15"/>
  <c r="I48" i="15" s="1"/>
  <c r="I51" i="14"/>
  <c r="K45" i="15"/>
  <c r="K48" i="15" s="1"/>
  <c r="K51" i="14"/>
  <c r="E45" i="15"/>
  <c r="E48" i="15" s="1"/>
  <c r="E51" i="14"/>
  <c r="G51" i="14"/>
  <c r="G45" i="15"/>
  <c r="G48" i="15" s="1"/>
  <c r="B5" i="16"/>
  <c r="D45" i="15"/>
  <c r="H45" i="15" l="1"/>
  <c r="B7" i="16"/>
  <c r="F45" i="15"/>
  <c r="B6" i="16"/>
  <c r="B9" i="16"/>
  <c r="L45" i="15"/>
  <c r="J45" i="15"/>
  <c r="B8" i="16"/>
  <c r="E47" i="15"/>
  <c r="E53" i="14"/>
  <c r="G47" i="15"/>
  <c r="G53" i="14"/>
  <c r="M53" i="14"/>
  <c r="N47" i="15" s="1"/>
  <c r="D47" i="15"/>
  <c r="O47" i="15" s="1"/>
  <c r="D5" i="16"/>
  <c r="L51" i="14"/>
  <c r="I47" i="15"/>
  <c r="I53" i="14"/>
  <c r="D48" i="15"/>
  <c r="O45" i="15"/>
  <c r="K47" i="15"/>
  <c r="K53" i="14"/>
  <c r="O36" i="15" l="1"/>
  <c r="O15" i="15"/>
  <c r="O43" i="15"/>
  <c r="O24" i="15"/>
  <c r="O23" i="15"/>
  <c r="B36" i="16" s="1"/>
  <c r="O20" i="15"/>
  <c r="B33" i="16" s="1"/>
  <c r="O38" i="15"/>
  <c r="O16" i="15"/>
  <c r="B29" i="16" s="1"/>
  <c r="O39" i="15"/>
  <c r="B52" i="16" s="1"/>
  <c r="O14" i="15"/>
  <c r="B27" i="16" s="1"/>
  <c r="L53" i="14"/>
  <c r="B58" i="14" s="1"/>
  <c r="O29" i="15"/>
  <c r="B42" i="16" s="1"/>
  <c r="O28" i="15"/>
  <c r="B41" i="16" s="1"/>
  <c r="O8" i="15"/>
  <c r="B21" i="16" s="1"/>
  <c r="O31" i="15"/>
  <c r="B44" i="16" s="1"/>
  <c r="B12" i="16"/>
  <c r="J48" i="15"/>
  <c r="B58" i="16"/>
  <c r="B60" i="16"/>
  <c r="B49" i="16"/>
  <c r="L48" i="15"/>
  <c r="B37" i="16"/>
  <c r="B28" i="16"/>
  <c r="E5" i="16"/>
  <c r="O25" i="15"/>
  <c r="O22" i="15"/>
  <c r="B56" i="16"/>
  <c r="O33" i="15"/>
  <c r="O13" i="15"/>
  <c r="O21" i="15"/>
  <c r="O44" i="15"/>
  <c r="H47" i="15"/>
  <c r="Q47" i="15" s="1"/>
  <c r="D60" i="16" s="1"/>
  <c r="D7" i="16"/>
  <c r="F48" i="15"/>
  <c r="L47" i="15"/>
  <c r="S47" i="15" s="1"/>
  <c r="F60" i="16" s="1"/>
  <c r="D9" i="16"/>
  <c r="O17" i="15"/>
  <c r="O7" i="15"/>
  <c r="O26" i="15"/>
  <c r="O19" i="15"/>
  <c r="D8" i="16"/>
  <c r="J47" i="15"/>
  <c r="R47" i="15" s="1"/>
  <c r="E60" i="16" s="1"/>
  <c r="F47" i="15"/>
  <c r="P47" i="15" s="1"/>
  <c r="C60" i="16" s="1"/>
  <c r="D6" i="16"/>
  <c r="H48" i="15"/>
  <c r="O41" i="15"/>
  <c r="O34" i="15"/>
  <c r="O42" i="15"/>
  <c r="O40" i="15"/>
  <c r="O18" i="15"/>
  <c r="O11" i="15"/>
  <c r="B56" i="14"/>
  <c r="B59" i="14" s="1"/>
  <c r="M45" i="15"/>
  <c r="M48" i="15" s="1"/>
  <c r="O46" i="15"/>
  <c r="O37" i="15"/>
  <c r="O9" i="15"/>
  <c r="O35" i="15"/>
  <c r="O30" i="15"/>
  <c r="O12" i="15"/>
  <c r="B51" i="16"/>
  <c r="O27" i="15"/>
  <c r="O32" i="15"/>
  <c r="O10" i="15"/>
  <c r="M47" i="15" l="1"/>
  <c r="P40" i="15"/>
  <c r="C53" i="16" s="1"/>
  <c r="P43" i="15"/>
  <c r="C56" i="16" s="1"/>
  <c r="P26" i="15"/>
  <c r="C39" i="16" s="1"/>
  <c r="Q46" i="15"/>
  <c r="D59" i="16" s="1"/>
  <c r="P31" i="15"/>
  <c r="C44" i="16" s="1"/>
  <c r="Q7" i="15"/>
  <c r="D20" i="16" s="1"/>
  <c r="P44" i="15"/>
  <c r="C57" i="16" s="1"/>
  <c r="R40" i="15"/>
  <c r="E53" i="16" s="1"/>
  <c r="R26" i="15"/>
  <c r="E39" i="16" s="1"/>
  <c r="R36" i="15"/>
  <c r="E49" i="16" s="1"/>
  <c r="S22" i="15"/>
  <c r="F35" i="16" s="1"/>
  <c r="S29" i="15"/>
  <c r="F42" i="16" s="1"/>
  <c r="S35" i="15"/>
  <c r="F48" i="16" s="1"/>
  <c r="R37" i="15"/>
  <c r="E50" i="16" s="1"/>
  <c r="P35" i="15"/>
  <c r="C48" i="16" s="1"/>
  <c r="S30" i="15"/>
  <c r="F43" i="16" s="1"/>
  <c r="R16" i="15"/>
  <c r="E29" i="16" s="1"/>
  <c r="Q33" i="15"/>
  <c r="D46" i="16" s="1"/>
  <c r="P22" i="15"/>
  <c r="C35" i="16" s="1"/>
  <c r="S12" i="15"/>
  <c r="F25" i="16" s="1"/>
  <c r="Q43" i="15"/>
  <c r="D56" i="16" s="1"/>
  <c r="Q20" i="15"/>
  <c r="D33" i="16" s="1"/>
  <c r="Q10" i="15"/>
  <c r="D23" i="16" s="1"/>
  <c r="Q24" i="15"/>
  <c r="D37" i="16" s="1"/>
  <c r="Q14" i="15"/>
  <c r="D27" i="16" s="1"/>
  <c r="Q19" i="15"/>
  <c r="D32" i="16" s="1"/>
  <c r="P27" i="15"/>
  <c r="C40" i="16" s="1"/>
  <c r="P25" i="15"/>
  <c r="C38" i="16" s="1"/>
  <c r="R25" i="15"/>
  <c r="E38" i="16" s="1"/>
  <c r="Q15" i="15"/>
  <c r="D28" i="16" s="1"/>
  <c r="Q23" i="15"/>
  <c r="D36" i="16" s="1"/>
  <c r="Q21" i="15"/>
  <c r="D34" i="16" s="1"/>
  <c r="P46" i="15"/>
  <c r="C59" i="16" s="1"/>
  <c r="P36" i="15"/>
  <c r="C49" i="16" s="1"/>
  <c r="R31" i="15"/>
  <c r="E44" i="16" s="1"/>
  <c r="Q36" i="15"/>
  <c r="D49" i="16" s="1"/>
  <c r="Q29" i="15"/>
  <c r="D42" i="16" s="1"/>
  <c r="Q37" i="15"/>
  <c r="D50" i="16" s="1"/>
  <c r="E12" i="16"/>
  <c r="P24" i="15"/>
  <c r="C37" i="16" s="1"/>
  <c r="P20" i="15"/>
  <c r="C33" i="16" s="1"/>
  <c r="R41" i="15"/>
  <c r="E54" i="16" s="1"/>
  <c r="R39" i="15"/>
  <c r="E52" i="16" s="1"/>
  <c r="Q17" i="15"/>
  <c r="D30" i="16" s="1"/>
  <c r="Q39" i="15"/>
  <c r="D52" i="16" s="1"/>
  <c r="P23" i="15"/>
  <c r="C36" i="16" s="1"/>
  <c r="P9" i="15"/>
  <c r="C22" i="16" s="1"/>
  <c r="R35" i="15"/>
  <c r="E48" i="16" s="1"/>
  <c r="R17" i="15"/>
  <c r="E30" i="16" s="1"/>
  <c r="Q45" i="15"/>
  <c r="D58" i="16" s="1"/>
  <c r="Q38" i="15"/>
  <c r="D51" i="16" s="1"/>
  <c r="Q31" i="15"/>
  <c r="D44" i="16" s="1"/>
  <c r="P42" i="15"/>
  <c r="C55" i="16" s="1"/>
  <c r="Q26" i="15"/>
  <c r="D39" i="16" s="1"/>
  <c r="Q34" i="15"/>
  <c r="D47" i="16" s="1"/>
  <c r="P21" i="15"/>
  <c r="C34" i="16" s="1"/>
  <c r="P11" i="15"/>
  <c r="C24" i="16" s="1"/>
  <c r="R27" i="15"/>
  <c r="E40" i="16" s="1"/>
  <c r="R20" i="15"/>
  <c r="E33" i="16" s="1"/>
  <c r="Q13" i="15"/>
  <c r="D26" i="16" s="1"/>
  <c r="Q22" i="15"/>
  <c r="D35" i="16" s="1"/>
  <c r="P34" i="15"/>
  <c r="C47" i="16" s="1"/>
  <c r="P8" i="15"/>
  <c r="C21" i="16" s="1"/>
  <c r="R46" i="15"/>
  <c r="E59" i="16" s="1"/>
  <c r="R28" i="15"/>
  <c r="E41" i="16" s="1"/>
  <c r="Q25" i="15"/>
  <c r="D38" i="16" s="1"/>
  <c r="Q44" i="15"/>
  <c r="D57" i="16" s="1"/>
  <c r="P37" i="15"/>
  <c r="C50" i="16" s="1"/>
  <c r="P12" i="15"/>
  <c r="C25" i="16" s="1"/>
  <c r="R32" i="15"/>
  <c r="E45" i="16" s="1"/>
  <c r="R42" i="15"/>
  <c r="E55" i="16" s="1"/>
  <c r="Q18" i="15"/>
  <c r="D31" i="16" s="1"/>
  <c r="Q42" i="15"/>
  <c r="D55" i="16" s="1"/>
  <c r="P28" i="15"/>
  <c r="C41" i="16" s="1"/>
  <c r="P7" i="15"/>
  <c r="C20" i="16" s="1"/>
  <c r="R22" i="15"/>
  <c r="E35" i="16" s="1"/>
  <c r="R44" i="15"/>
  <c r="E57" i="16" s="1"/>
  <c r="Q41" i="15"/>
  <c r="D54" i="16" s="1"/>
  <c r="Q30" i="15"/>
  <c r="D43" i="16" s="1"/>
  <c r="Q11" i="15"/>
  <c r="D24" i="16" s="1"/>
  <c r="P13" i="15"/>
  <c r="C26" i="16" s="1"/>
  <c r="P10" i="15"/>
  <c r="C23" i="16" s="1"/>
  <c r="R30" i="15"/>
  <c r="E43" i="16" s="1"/>
  <c r="R11" i="15"/>
  <c r="E24" i="16" s="1"/>
  <c r="Q40" i="15"/>
  <c r="D53" i="16" s="1"/>
  <c r="Q16" i="15"/>
  <c r="D29" i="16" s="1"/>
  <c r="Q9" i="15"/>
  <c r="D22" i="16" s="1"/>
  <c r="D12" i="16"/>
  <c r="P30" i="15"/>
  <c r="C43" i="16" s="1"/>
  <c r="P19" i="15"/>
  <c r="C32" i="16" s="1"/>
  <c r="R13" i="15"/>
  <c r="E26" i="16" s="1"/>
  <c r="R12" i="15"/>
  <c r="E25" i="16" s="1"/>
  <c r="Q35" i="15"/>
  <c r="D48" i="16" s="1"/>
  <c r="Q28" i="15"/>
  <c r="D41" i="16" s="1"/>
  <c r="Q12" i="15"/>
  <c r="D25" i="16" s="1"/>
  <c r="P32" i="15"/>
  <c r="C45" i="16" s="1"/>
  <c r="R14" i="15"/>
  <c r="E27" i="16" s="1"/>
  <c r="R9" i="15"/>
  <c r="E22" i="16" s="1"/>
  <c r="Q27" i="15"/>
  <c r="D40" i="16" s="1"/>
  <c r="Q32" i="15"/>
  <c r="D45" i="16" s="1"/>
  <c r="Q8" i="15"/>
  <c r="D21" i="16" s="1"/>
  <c r="P41" i="15"/>
  <c r="C54" i="16" s="1"/>
  <c r="P39" i="15"/>
  <c r="C52" i="16" s="1"/>
  <c r="R34" i="15"/>
  <c r="E47" i="16" s="1"/>
  <c r="R8" i="15"/>
  <c r="E21" i="16" s="1"/>
  <c r="B54" i="16"/>
  <c r="B20" i="16"/>
  <c r="O48" i="15"/>
  <c r="B34" i="16"/>
  <c r="B38" i="16"/>
  <c r="S27" i="15"/>
  <c r="F40" i="16" s="1"/>
  <c r="S21" i="15"/>
  <c r="F34" i="16" s="1"/>
  <c r="S9" i="15"/>
  <c r="F22" i="16" s="1"/>
  <c r="B30" i="16"/>
  <c r="S46" i="15"/>
  <c r="F59" i="16" s="1"/>
  <c r="S32" i="15"/>
  <c r="F45" i="16" s="1"/>
  <c r="S7" i="15"/>
  <c r="S43" i="15"/>
  <c r="F56" i="16" s="1"/>
  <c r="S16" i="15"/>
  <c r="F29" i="16" s="1"/>
  <c r="S19" i="15"/>
  <c r="F32" i="16" s="1"/>
  <c r="S24" i="15"/>
  <c r="F37" i="16" s="1"/>
  <c r="S17" i="15"/>
  <c r="F30" i="16" s="1"/>
  <c r="S10" i="15"/>
  <c r="F23" i="16" s="1"/>
  <c r="E6" i="16"/>
  <c r="E7" i="16" s="1"/>
  <c r="E8" i="16" s="1"/>
  <c r="E9" i="16" s="1"/>
  <c r="S15" i="15"/>
  <c r="F28" i="16" s="1"/>
  <c r="S18" i="15"/>
  <c r="F31" i="16" s="1"/>
  <c r="S45" i="15"/>
  <c r="F58" i="16" s="1"/>
  <c r="B47" i="16"/>
  <c r="B57" i="16"/>
  <c r="B26" i="16"/>
  <c r="S23" i="15"/>
  <c r="F36" i="16" s="1"/>
  <c r="S38" i="15"/>
  <c r="F51" i="16" s="1"/>
  <c r="B23" i="16"/>
  <c r="B22" i="16"/>
  <c r="B46" i="16"/>
  <c r="B39" i="16"/>
  <c r="S28" i="15"/>
  <c r="F41" i="16" s="1"/>
  <c r="S13" i="15"/>
  <c r="F26" i="16" s="1"/>
  <c r="S25" i="15"/>
  <c r="F38" i="16" s="1"/>
  <c r="S33" i="15"/>
  <c r="F46" i="16" s="1"/>
  <c r="B45" i="16"/>
  <c r="B40" i="16"/>
  <c r="S36" i="15"/>
  <c r="F49" i="16" s="1"/>
  <c r="S31" i="15"/>
  <c r="F44" i="16" s="1"/>
  <c r="B35" i="16"/>
  <c r="S34" i="15"/>
  <c r="F47" i="16" s="1"/>
  <c r="S14" i="15"/>
  <c r="F27" i="16" s="1"/>
  <c r="R33" i="15"/>
  <c r="E46" i="16" s="1"/>
  <c r="R7" i="15"/>
  <c r="B59" i="16"/>
  <c r="B25" i="16"/>
  <c r="B24" i="16"/>
  <c r="P15" i="15"/>
  <c r="P16" i="15"/>
  <c r="P45" i="15"/>
  <c r="S37" i="15"/>
  <c r="F50" i="16" s="1"/>
  <c r="S44" i="15"/>
  <c r="F57" i="16" s="1"/>
  <c r="R43" i="15"/>
  <c r="E56" i="16" s="1"/>
  <c r="R18" i="15"/>
  <c r="E31" i="16" s="1"/>
  <c r="R10" i="15"/>
  <c r="E23" i="16" s="1"/>
  <c r="B43" i="16"/>
  <c r="B31" i="16"/>
  <c r="P18" i="15"/>
  <c r="C31" i="16" s="1"/>
  <c r="P17" i="15"/>
  <c r="C30" i="16" s="1"/>
  <c r="S26" i="15"/>
  <c r="F39" i="16" s="1"/>
  <c r="S42" i="15"/>
  <c r="F55" i="16" s="1"/>
  <c r="R24" i="15"/>
  <c r="E37" i="16" s="1"/>
  <c r="R21" i="15"/>
  <c r="E34" i="16" s="1"/>
  <c r="R19" i="15"/>
  <c r="E32" i="16" s="1"/>
  <c r="B50" i="16"/>
  <c r="B48" i="16"/>
  <c r="B53" i="16"/>
  <c r="P14" i="15"/>
  <c r="P38" i="15"/>
  <c r="S41" i="15"/>
  <c r="F54" i="16" s="1"/>
  <c r="S39" i="15"/>
  <c r="S11" i="15"/>
  <c r="F24" i="16" s="1"/>
  <c r="R23" i="15"/>
  <c r="E36" i="16" s="1"/>
  <c r="R29" i="15"/>
  <c r="E42" i="16" s="1"/>
  <c r="B55" i="16"/>
  <c r="B32" i="16"/>
  <c r="P29" i="15"/>
  <c r="P33" i="15"/>
  <c r="C46" i="16" s="1"/>
  <c r="S40" i="15"/>
  <c r="F53" i="16" s="1"/>
  <c r="S20" i="15"/>
  <c r="F33" i="16" s="1"/>
  <c r="S8" i="15"/>
  <c r="F21" i="16" s="1"/>
  <c r="T47" i="15"/>
  <c r="G60" i="16" s="1"/>
  <c r="R15" i="15"/>
  <c r="E28" i="16" s="1"/>
  <c r="R38" i="15"/>
  <c r="E51" i="16" s="1"/>
  <c r="R45" i="15"/>
  <c r="E58" i="16" s="1"/>
  <c r="T22" i="15" l="1"/>
  <c r="G35" i="16" s="1"/>
  <c r="T12" i="15"/>
  <c r="G25" i="16" s="1"/>
  <c r="T31" i="15"/>
  <c r="G44" i="16" s="1"/>
  <c r="T24" i="15"/>
  <c r="G37" i="16" s="1"/>
  <c r="T35" i="15"/>
  <c r="G48" i="16" s="1"/>
  <c r="T32" i="15"/>
  <c r="G45" i="16" s="1"/>
  <c r="T37" i="15"/>
  <c r="G50" i="16" s="1"/>
  <c r="T19" i="15"/>
  <c r="G32" i="16" s="1"/>
  <c r="T30" i="15"/>
  <c r="G43" i="16" s="1"/>
  <c r="T33" i="15"/>
  <c r="G46" i="16" s="1"/>
  <c r="T42" i="15"/>
  <c r="G55" i="16" s="1"/>
  <c r="T46" i="15"/>
  <c r="G59" i="16" s="1"/>
  <c r="T23" i="15"/>
  <c r="G36" i="16" s="1"/>
  <c r="T13" i="15"/>
  <c r="G26" i="16" s="1"/>
  <c r="Q48" i="15"/>
  <c r="D62" i="16" s="1"/>
  <c r="T7" i="15"/>
  <c r="G20" i="16" s="1"/>
  <c r="T43" i="15"/>
  <c r="G56" i="16" s="1"/>
  <c r="T28" i="15"/>
  <c r="G41" i="16" s="1"/>
  <c r="T40" i="15"/>
  <c r="G53" i="16" s="1"/>
  <c r="T11" i="15"/>
  <c r="G24" i="16" s="1"/>
  <c r="T44" i="15"/>
  <c r="G57" i="16" s="1"/>
  <c r="C51" i="16"/>
  <c r="T38" i="15"/>
  <c r="G51" i="16" s="1"/>
  <c r="C58" i="16"/>
  <c r="T45" i="15"/>
  <c r="G58" i="16" s="1"/>
  <c r="T17" i="15"/>
  <c r="G30" i="16" s="1"/>
  <c r="C27" i="16"/>
  <c r="T14" i="15"/>
  <c r="G27" i="16" s="1"/>
  <c r="C29" i="16"/>
  <c r="T16" i="15"/>
  <c r="G29" i="16" s="1"/>
  <c r="T20" i="15"/>
  <c r="G33" i="16" s="1"/>
  <c r="C28" i="16"/>
  <c r="T15" i="15"/>
  <c r="G28" i="16" s="1"/>
  <c r="T18" i="15"/>
  <c r="G31" i="16" s="1"/>
  <c r="C42" i="16"/>
  <c r="T29" i="15"/>
  <c r="G42" i="16" s="1"/>
  <c r="P48" i="15"/>
  <c r="T25" i="15"/>
  <c r="G38" i="16" s="1"/>
  <c r="T8" i="15"/>
  <c r="G21" i="16" s="1"/>
  <c r="T26" i="15"/>
  <c r="G39" i="16" s="1"/>
  <c r="T21" i="15"/>
  <c r="G34" i="16" s="1"/>
  <c r="B61" i="16"/>
  <c r="B62" i="16"/>
  <c r="T27" i="15"/>
  <c r="G40" i="16" s="1"/>
  <c r="T9" i="15"/>
  <c r="G22" i="16" s="1"/>
  <c r="T34" i="15"/>
  <c r="G47" i="16" s="1"/>
  <c r="R48" i="15"/>
  <c r="E20" i="16"/>
  <c r="S48" i="15"/>
  <c r="F20" i="16"/>
  <c r="F52" i="16"/>
  <c r="T39" i="15"/>
  <c r="G52" i="16" s="1"/>
  <c r="T10" i="15"/>
  <c r="G23" i="16" s="1"/>
  <c r="T41" i="15"/>
  <c r="G54" i="16" s="1"/>
  <c r="T36" i="15"/>
  <c r="G49" i="16" s="1"/>
  <c r="D61" i="16" l="1"/>
  <c r="F61" i="16"/>
  <c r="F62" i="16"/>
  <c r="C62" i="16"/>
  <c r="C61" i="16"/>
  <c r="E61" i="16"/>
  <c r="E62" i="16"/>
  <c r="T48" i="15"/>
  <c r="G61" i="16" l="1"/>
  <c r="G62" i="16"/>
  <c r="B46" i="17" l="1"/>
  <c r="B45"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A1" authorId="0" shapeId="0" xr:uid="{00000000-0006-0000-0100-000001000000}">
      <text>
        <r>
          <rPr>
            <sz val="10"/>
            <rFont val="Arial"/>
            <family val="2"/>
          </rPr>
          <t>This tab is the source sheet for the buyer PDF. Export this sheet only, or use the included VBS/VBA tools.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B21" authorId="0" shapeId="0" xr:uid="{00000000-0006-0000-0300-000001000000}">
      <text>
        <r>
          <rPr>
            <sz val="10"/>
            <rFont val="Arial"/>
            <family val="2"/>
          </rPr>
          <t>Default set to 15 minutes per 8-hour shift. Edit this input as needed. Model converts minutes ÷ 480 into an hourly DON/DOFF premium.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B46" authorId="0" shapeId="0" xr:uid="{00000000-0006-0000-0900-000001000000}">
      <text>
        <r>
          <rPr>
            <sz val="10"/>
            <rFont val="Arial"/>
            <family val="2"/>
          </rPr>
          <t>Locked to final vendor total cost of ownership bill rate from Vendor_Pricing!B5 for CFO tie-out.</t>
        </r>
      </text>
    </comment>
    <comment ref="C46" authorId="0" shapeId="0" xr:uid="{00000000-0006-0000-0900-000002000000}">
      <text>
        <r>
          <rPr>
            <sz val="10"/>
            <rFont val="Arial"/>
            <family val="2"/>
          </rPr>
          <t>Locked to total annual vendor cost from Appraisal_Full_Scope_Report!H19 for CFO tie-out.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K1" authorId="0" shapeId="0" xr:uid="{00000000-0006-0000-0400-00000B000000}">
      <text>
        <r>
          <rPr>
            <sz val="10"/>
            <rFont val="Arial"/>
            <family val="2"/>
          </rPr>
          <t>Blue cells are editable user inputs. Gold-outlined cells in this tab are intended for end-user entry.</t>
        </r>
      </text>
    </comment>
    <comment ref="A2" authorId="0" shapeId="0" xr:uid="{00000000-0006-0000-0400-000001000000}">
      <text>
        <r>
          <rPr>
            <sz val="10"/>
            <rFont val="Arial"/>
            <family val="2"/>
          </rPr>
          <t>Select or type the labor category/post type for this line.</t>
        </r>
      </text>
    </comment>
    <comment ref="L2" authorId="0" shapeId="0" xr:uid="{00000000-0006-0000-0400-00000C000000}">
      <text>
        <r>
          <rPr>
            <sz val="10"/>
            <rFont val="Arial"/>
            <family val="2"/>
          </rPr>
          <t>Enter the blended hourly pay rate for this post.</t>
        </r>
      </text>
    </comment>
    <comment ref="S2" authorId="0" shapeId="0" xr:uid="{00000000-0006-0000-0400-000016000000}">
      <text>
        <r>
          <rPr>
            <sz val="10"/>
            <rFont val="Arial"/>
            <family val="2"/>
          </rPr>
          <t>Enter the annual hours or annual hits for this post. Weekly and monthly hours will auto-calculate.</t>
        </r>
      </text>
    </comment>
    <comment ref="A3" authorId="0" shapeId="0" xr:uid="{00000000-0006-0000-0400-000002000000}">
      <text>
        <r>
          <rPr>
            <sz val="10"/>
            <rFont val="Arial"/>
            <family val="2"/>
          </rPr>
          <t>Select or type the labor category/post type for this line.</t>
        </r>
      </text>
    </comment>
    <comment ref="L3" authorId="0" shapeId="0" xr:uid="{00000000-0006-0000-0400-00000D000000}">
      <text>
        <r>
          <rPr>
            <sz val="10"/>
            <rFont val="Arial"/>
            <family val="2"/>
          </rPr>
          <t>Enter the blended hourly pay rate for this post.</t>
        </r>
      </text>
    </comment>
    <comment ref="S3" authorId="0" shapeId="0" xr:uid="{00000000-0006-0000-0400-000017000000}">
      <text>
        <r>
          <rPr>
            <sz val="10"/>
            <rFont val="Arial"/>
            <family val="2"/>
          </rPr>
          <t>Enter the annual hours or annual hits for this post. Weekly and monthly hours will auto-calculate.</t>
        </r>
      </text>
    </comment>
    <comment ref="A4" authorId="0" shapeId="0" xr:uid="{00000000-0006-0000-0400-000003000000}">
      <text>
        <r>
          <rPr>
            <sz val="10"/>
            <rFont val="Arial"/>
            <family val="2"/>
          </rPr>
          <t>Select or type the labor category/post type for this line.</t>
        </r>
      </text>
    </comment>
    <comment ref="L4" authorId="0" shapeId="0" xr:uid="{00000000-0006-0000-0400-00000E000000}">
      <text>
        <r>
          <rPr>
            <sz val="10"/>
            <rFont val="Arial"/>
            <family val="2"/>
          </rPr>
          <t>Enter the blended hourly pay rate for this post.</t>
        </r>
      </text>
    </comment>
    <comment ref="S4" authorId="0" shapeId="0" xr:uid="{00000000-0006-0000-0400-000018000000}">
      <text>
        <r>
          <rPr>
            <sz val="10"/>
            <rFont val="Arial"/>
            <family val="2"/>
          </rPr>
          <t>Enter the annual hours or annual hits for this post. Weekly and monthly hours will auto-calculate.</t>
        </r>
      </text>
    </comment>
    <comment ref="A5" authorId="0" shapeId="0" xr:uid="{00000000-0006-0000-0400-000004000000}">
      <text>
        <r>
          <rPr>
            <sz val="10"/>
            <rFont val="Arial"/>
            <family val="2"/>
          </rPr>
          <t>Select or type the labor category/post type for this line.</t>
        </r>
      </text>
    </comment>
    <comment ref="L5" authorId="0" shapeId="0" xr:uid="{00000000-0006-0000-0400-00000F000000}">
      <text>
        <r>
          <rPr>
            <sz val="10"/>
            <rFont val="Arial"/>
            <family val="2"/>
          </rPr>
          <t>Enter the blended hourly pay rate for this post.</t>
        </r>
      </text>
    </comment>
    <comment ref="S5" authorId="0" shapeId="0" xr:uid="{00000000-0006-0000-0400-000019000000}">
      <text>
        <r>
          <rPr>
            <sz val="10"/>
            <rFont val="Arial"/>
            <family val="2"/>
          </rPr>
          <t>Enter the annual hours or annual hits for this post. Weekly and monthly hours will auto-calculate.</t>
        </r>
      </text>
    </comment>
    <comment ref="A6" authorId="0" shapeId="0" xr:uid="{00000000-0006-0000-0400-000005000000}">
      <text>
        <r>
          <rPr>
            <sz val="10"/>
            <rFont val="Arial"/>
            <family val="2"/>
          </rPr>
          <t>Select or type the labor category/post type for this line.</t>
        </r>
      </text>
    </comment>
    <comment ref="L6" authorId="0" shapeId="0" xr:uid="{00000000-0006-0000-0400-000010000000}">
      <text>
        <r>
          <rPr>
            <sz val="10"/>
            <rFont val="Arial"/>
            <family val="2"/>
          </rPr>
          <t>Enter the blended hourly pay rate for this post.</t>
        </r>
      </text>
    </comment>
    <comment ref="S6" authorId="0" shapeId="0" xr:uid="{00000000-0006-0000-0400-00001A000000}">
      <text>
        <r>
          <rPr>
            <sz val="10"/>
            <rFont val="Arial"/>
            <family val="2"/>
          </rPr>
          <t>Enter the annual hours or annual hits for this post. Weekly and monthly hours will auto-calculate.</t>
        </r>
      </text>
    </comment>
    <comment ref="A7" authorId="0" shapeId="0" xr:uid="{00000000-0006-0000-0400-000006000000}">
      <text>
        <r>
          <rPr>
            <sz val="10"/>
            <rFont val="Arial"/>
            <family val="2"/>
          </rPr>
          <t>Select or type the labor category/post type for this line.</t>
        </r>
      </text>
    </comment>
    <comment ref="L7" authorId="0" shapeId="0" xr:uid="{00000000-0006-0000-0400-000011000000}">
      <text>
        <r>
          <rPr>
            <sz val="10"/>
            <rFont val="Arial"/>
            <family val="2"/>
          </rPr>
          <t>Enter the blended hourly pay rate for this post.</t>
        </r>
      </text>
    </comment>
    <comment ref="S7" authorId="0" shapeId="0" xr:uid="{00000000-0006-0000-0400-00001B000000}">
      <text>
        <r>
          <rPr>
            <sz val="10"/>
            <rFont val="Arial"/>
            <family val="2"/>
          </rPr>
          <t>Enter the annual hours or annual hits for this post. Weekly and monthly hours will auto-calculate.</t>
        </r>
      </text>
    </comment>
    <comment ref="A8" authorId="0" shapeId="0" xr:uid="{00000000-0006-0000-0400-000007000000}">
      <text>
        <r>
          <rPr>
            <sz val="10"/>
            <rFont val="Arial"/>
            <family val="2"/>
          </rPr>
          <t>Select or type the labor category/post type for this line.</t>
        </r>
      </text>
    </comment>
    <comment ref="L8" authorId="0" shapeId="0" xr:uid="{00000000-0006-0000-0400-000012000000}">
      <text>
        <r>
          <rPr>
            <sz val="10"/>
            <rFont val="Arial"/>
            <family val="2"/>
          </rPr>
          <t>Enter the blended hourly pay rate for this post.</t>
        </r>
      </text>
    </comment>
    <comment ref="S8" authorId="0" shapeId="0" xr:uid="{00000000-0006-0000-0400-00001C000000}">
      <text>
        <r>
          <rPr>
            <sz val="10"/>
            <rFont val="Arial"/>
            <family val="2"/>
          </rPr>
          <t>Enter the annual hours or annual hits for this post. Weekly and monthly hours will auto-calculate.</t>
        </r>
      </text>
    </comment>
    <comment ref="A9" authorId="0" shapeId="0" xr:uid="{00000000-0006-0000-0400-000008000000}">
      <text>
        <r>
          <rPr>
            <sz val="10"/>
            <rFont val="Arial"/>
            <family val="2"/>
          </rPr>
          <t>Select or type the labor category/post type for this line.</t>
        </r>
      </text>
    </comment>
    <comment ref="L9" authorId="0" shapeId="0" xr:uid="{00000000-0006-0000-0400-000013000000}">
      <text>
        <r>
          <rPr>
            <sz val="10"/>
            <rFont val="Arial"/>
            <family val="2"/>
          </rPr>
          <t>Enter the blended hourly pay rate for this post.</t>
        </r>
      </text>
    </comment>
    <comment ref="S9" authorId="0" shapeId="0" xr:uid="{00000000-0006-0000-0400-00001D000000}">
      <text>
        <r>
          <rPr>
            <sz val="10"/>
            <rFont val="Arial"/>
            <family val="2"/>
          </rPr>
          <t>Enter the annual hours or annual hits for this post. Weekly and monthly hours will auto-calculate.</t>
        </r>
      </text>
    </comment>
    <comment ref="A10" authorId="0" shapeId="0" xr:uid="{00000000-0006-0000-0400-000009000000}">
      <text>
        <r>
          <rPr>
            <sz val="10"/>
            <rFont val="Arial"/>
            <family val="2"/>
          </rPr>
          <t>Select or type the labor category/post type for this line.</t>
        </r>
      </text>
    </comment>
    <comment ref="L10" authorId="0" shapeId="0" xr:uid="{00000000-0006-0000-0400-000014000000}">
      <text>
        <r>
          <rPr>
            <sz val="10"/>
            <rFont val="Arial"/>
            <family val="2"/>
          </rPr>
          <t>Enter the blended hourly pay rate for this post.</t>
        </r>
      </text>
    </comment>
    <comment ref="S10" authorId="0" shapeId="0" xr:uid="{00000000-0006-0000-0400-00001E000000}">
      <text>
        <r>
          <rPr>
            <sz val="10"/>
            <rFont val="Arial"/>
            <family val="2"/>
          </rPr>
          <t>Enter the annual hours or annual hits for this post. Weekly and monthly hours will auto-calculate.</t>
        </r>
      </text>
    </comment>
    <comment ref="A11" authorId="0" shapeId="0" xr:uid="{00000000-0006-0000-0400-00000A000000}">
      <text>
        <r>
          <rPr>
            <sz val="10"/>
            <rFont val="Arial"/>
            <family val="2"/>
          </rPr>
          <t>Select or type the labor category/post type for this line.</t>
        </r>
      </text>
    </comment>
    <comment ref="L11" authorId="0" shapeId="0" xr:uid="{00000000-0006-0000-0400-000015000000}">
      <text>
        <r>
          <rPr>
            <sz val="10"/>
            <rFont val="Arial"/>
            <family val="2"/>
          </rPr>
          <t>Enter the blended hourly pay rate for this post.</t>
        </r>
      </text>
    </comment>
    <comment ref="S11" authorId="0" shapeId="0" xr:uid="{00000000-0006-0000-0400-00001F000000}">
      <text>
        <r>
          <rPr>
            <sz val="10"/>
            <rFont val="Arial"/>
            <family val="2"/>
          </rPr>
          <t>Enter the annual hours or annual hits for this post. Weekly and monthly hours will auto-calculate.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ChatGPT</author>
  </authors>
  <commentList>
    <comment ref="B7" authorId="0" shapeId="0" xr:uid="{00000000-0006-0000-0600-000001000000}">
      <text>
        <r>
          <rPr>
            <sz val="10"/>
            <rFont val="Arial"/>
            <family val="2"/>
          </rPr>
          <t>Enter the number of operating days per week for this vehicle assignment. Typical range: 1 to 7.</t>
        </r>
      </text>
    </comment>
    <comment ref="B8" authorId="0" shapeId="0" xr:uid="{00000000-0006-0000-0600-000002000000}">
      <text>
        <r>
          <rPr>
            <sz val="10"/>
            <rFont val="Arial"/>
            <family val="2"/>
          </rPr>
          <t>Enter the total weeks of coverage per year. Typical range: 1 to 52.</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B10" authorId="0" shapeId="0" xr:uid="{00000000-0006-0000-0B00-000001000000}">
      <text>
        <r>
          <rPr>
            <sz val="10"/>
            <rFont val="Arial"/>
            <family val="2"/>
          </rPr>
          <t>DON/DOFF hourly premium = loaded direct labor hourly subtotal (rows 4:9) × (DON/DOFF minutes per shift ÷ 480).</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B1" authorId="0" shapeId="0" xr:uid="{00000000-0006-0000-0A00-000001000000}">
      <text>
        <r>
          <rPr>
            <sz val="10"/>
            <rFont val="Arial"/>
            <family val="2"/>
          </rPr>
          <t>Content and values transcribed from attached Appraisal Full Scope PDF Report v7.docx</t>
        </r>
      </text>
    </comment>
  </commentList>
</comments>
</file>

<file path=xl/sharedStrings.xml><?xml version="1.0" encoding="utf-8"?>
<sst xmlns="http://schemas.openxmlformats.org/spreadsheetml/2006/main" count="1412" uniqueCount="1015">
  <si>
    <t>GASQ Workforce-to-Post™ Model</t>
  </si>
  <si>
    <t>Enter data only in highlighted cells. All formulas, dashboards, and client-facing reports are protected.</t>
  </si>
  <si>
    <t>Recommended workflow</t>
  </si>
  <si>
    <t>Editing rules</t>
  </si>
  <si>
    <t>Live model KPIs</t>
  </si>
  <si>
    <t>1. Inputs</t>
  </si>
  <si>
    <t>Open Inputs</t>
  </si>
  <si>
    <t>Editable input cells</t>
  </si>
  <si>
    <t>Type only in highlighted cells</t>
  </si>
  <si>
    <t>Annual Coverage Hours</t>
  </si>
  <si>
    <t>2. Post roster</t>
  </si>
  <si>
    <t>Open Post_Positions</t>
  </si>
  <si>
    <t>Locked formula/report cells</t>
  </si>
  <si>
    <t>Protected</t>
  </si>
  <si>
    <t>Government TCO / Hr</t>
  </si>
  <si>
    <t>3. Vendor pricing</t>
  </si>
  <si>
    <t>Open Vendor_Pricing</t>
  </si>
  <si>
    <t>Protection password</t>
  </si>
  <si>
    <t>GASQ</t>
  </si>
  <si>
    <t>Vendor TCO / Hr</t>
  </si>
  <si>
    <t>4. CLIN pricing</t>
  </si>
  <si>
    <t>Open CLIN Pricing</t>
  </si>
  <si>
    <t>Annual Capital Recovery</t>
  </si>
  <si>
    <t>5. Contract summary</t>
  </si>
  <si>
    <t>Open Contract_Summary</t>
  </si>
  <si>
    <t>6. Dashboards</t>
  </si>
  <si>
    <t>Open GASQ_Dashboard</t>
  </si>
  <si>
    <t>Visible user tabs</t>
  </si>
  <si>
    <t>7. Reports</t>
  </si>
  <si>
    <t>Open Appraisal Report</t>
  </si>
  <si>
    <t>• Inputs</t>
  </si>
  <si>
    <t>8. Buyer report</t>
  </si>
  <si>
    <t>Open Buyer_Executive_Report</t>
  </si>
  <si>
    <t>• Post_Positions</t>
  </si>
  <si>
    <t>9. Automation guide</t>
  </si>
  <si>
    <t>Open Automation_Guide</t>
  </si>
  <si>
    <t>• Vehicle</t>
  </si>
  <si>
    <t>• Uniform_Equipment</t>
  </si>
  <si>
    <t>Buyer PDF shortcut</t>
  </si>
  <si>
    <t>• Training_Module</t>
  </si>
  <si>
    <t>OPEN BUYER REPORT TAB
(click here)</t>
  </si>
  <si>
    <t>OPEN AUTOMATION GUIDE
(click here)</t>
  </si>
  <si>
    <t>PDF export reminder</t>
  </si>
  <si>
    <t>• Vendor_Pricing</t>
  </si>
  <si>
    <t>The buyer PDF is exported from the Buyer_Executive_Report tab. In Excel: File → Export / Save As → PDF.
For a Windows one-click exporter, use the included Export_Buyer_Report.vbs script in the same folder as this workbook.</t>
  </si>
  <si>
    <t>• Capital_Recovery_Receipt</t>
  </si>
  <si>
    <t>• Vendor_Price_Evaluation</t>
  </si>
  <si>
    <t>• Government_IGCE_Comparison</t>
  </si>
  <si>
    <t>• Capital_Recovery_Dashboard</t>
  </si>
  <si>
    <t>• GASQ_Dashboard</t>
  </si>
  <si>
    <t>• Direct_Labor</t>
  </si>
  <si>
    <t>• Fringe_Costs</t>
  </si>
  <si>
    <t>GASQ Buyer Executive Report</t>
  </si>
  <si>
    <t>Automated buyer-facing summary linked live to Direct_Labor, Summary, Appraisal_Full_Scope_Report, and Vendor_Pricing. Update inputs, recalculate, and export this sheet to PDF.</t>
  </si>
  <si>
    <t>Setup one-click export</t>
  </si>
  <si>
    <t>Executive KPIs</t>
  </si>
  <si>
    <t>FTEs Required</t>
  </si>
  <si>
    <t>Capital Recovery Opportunity ($/Hr)</t>
  </si>
  <si>
    <t>Payback Period (Months)</t>
  </si>
  <si>
    <t>Direct Labor Cost Stack</t>
  </si>
  <si>
    <t>Component</t>
  </si>
  <si>
    <t>Annual Cost</t>
  </si>
  <si>
    <t>% of Vendor Stack</t>
  </si>
  <si>
    <t>Notes</t>
  </si>
  <si>
    <t>Direct Labor</t>
  </si>
  <si>
    <t>Core productive labor</t>
  </si>
  <si>
    <t>Fringe &amp; Burden</t>
  </si>
  <si>
    <t>Payroll taxes and paid time off</t>
  </si>
  <si>
    <t>Operations &amp; Support</t>
  </si>
  <si>
    <t>Training, equipment, vehicles, and insurance</t>
  </si>
  <si>
    <t>Overhead / G&amp;A / Profit</t>
  </si>
  <si>
    <t>Corporate overhead, G&amp;A, and profit</t>
  </si>
  <si>
    <t>Total Vendor Labor Stack</t>
  </si>
  <si>
    <t>Vendor fully burdened labor cost stack</t>
  </si>
  <si>
    <t>Buyer vs Vendor Scenario Comparison</t>
  </si>
  <si>
    <t>Metric</t>
  </si>
  <si>
    <t>Buyer / Gov</t>
  </si>
  <si>
    <t>Vendor TCO</t>
  </si>
  <si>
    <t>Vendor Target</t>
  </si>
  <si>
    <t>Vendor LPTA</t>
  </si>
  <si>
    <t>Rate / Productive Hour</t>
  </si>
  <si>
    <t>Annual Total Cost</t>
  </si>
  <si>
    <t>Hourly Savings vs Buyer</t>
  </si>
  <si>
    <t>Annual Savings / Capital Recovery</t>
  </si>
  <si>
    <t>Savings % vs Buyer</t>
  </si>
  <si>
    <t>Auto-Generated Buyer Takeaways</t>
  </si>
  <si>
    <t>This report updates automatically from the linked model tabs. Recalculate in Excel before exporting if you change inputs.</t>
  </si>
  <si>
    <t>Automation Guide</t>
  </si>
  <si>
    <t>This workbook includes a buyer report tab plus ready-to-use export scripts. Use the workbook on desktop Excel for best results.</t>
  </si>
  <si>
    <t>Step</t>
  </si>
  <si>
    <t>Action</t>
  </si>
  <si>
    <t>Details</t>
  </si>
  <si>
    <t>1</t>
  </si>
  <si>
    <t>Open the workbook</t>
  </si>
  <si>
    <t>Use desktop Excel. The Buyer_Executive_Report tab is moved near the front and colored burgundy.</t>
  </si>
  <si>
    <t>2</t>
  </si>
  <si>
    <t>Update inputs</t>
  </si>
  <si>
    <t>Edit the blue / designated input cells on Inputs, Post_Positions, Vendor_Pricing, and related modules.</t>
  </si>
  <si>
    <t>3</t>
  </si>
  <si>
    <t>Review the report</t>
  </si>
  <si>
    <t>Open Buyer_Executive_Report and confirm KPIs, cost stack, and comparison values.</t>
  </si>
  <si>
    <t>4</t>
  </si>
  <si>
    <t>Manual PDF export</t>
  </si>
  <si>
    <t>In Excel: File → Export / Save As → PDF. Export only Buyer_Executive_Report.</t>
  </si>
  <si>
    <t>5</t>
  </si>
  <si>
    <t>Windows one-click export</t>
  </si>
  <si>
    <t>Put Export_Buyer_Report.vbs in the same folder as this workbook, then double-click the script. It recalculates and exports the PDF automatically.</t>
  </si>
  <si>
    <t>6</t>
  </si>
  <si>
    <t>Optional in-workbook macro button</t>
  </si>
  <si>
    <t>Import Export_Buyer_Report.bas into VBA, insert a shape/button, and assign macro ExportBuyerReport.</t>
  </si>
  <si>
    <t>VBA macro (copy/import the included .bas file)</t>
  </si>
  <si>
    <t>Sub ExportBuyerReport()</t>
  </si>
  <si>
    <t xml:space="preserve">    Application.CalculateFull</t>
  </si>
  <si>
    <t xml:space="preserve">    Dim ws As Worksheet, pdfPath As String, folderPath As String</t>
  </si>
  <si>
    <t xml:space="preserve">    ws.ExportAsFixedFormat Type:=xlTypePDF, Filename:=pdfPath, Quality:=xlQualityStandard, IncludeDocProperties:=True, IgnorePrintAreas:=False, OpenAfterPublish:=True</t>
  </si>
  <si>
    <t xml:space="preserve">    Set ws = ThisWorkbook.Worksheets("Buyer_Executive_Report")</t>
  </si>
  <si>
    <t>End Sub</t>
  </si>
  <si>
    <t xml:space="preserve">    folderPath = ThisWorkbook.Path</t>
  </si>
  <si>
    <t xml:space="preserve">    If Len(folderPath) = 0 Then folderPath = Application.DefaultFilePath</t>
  </si>
  <si>
    <t xml:space="preserve">    pdfPath = folderPath &amp; Application.PathSeparator &amp; "GASQ_Buyer_Executive_Report_" &amp; Format(Now, "yyyymmdd_hhmm") &amp; ".pdf"</t>
  </si>
  <si>
    <t>Export assignment steps</t>
  </si>
  <si>
    <t>Open VBA editor</t>
  </si>
  <si>
    <t>Press Alt+F11 in Excel.</t>
  </si>
  <si>
    <t>Import module</t>
  </si>
  <si>
    <t>File → Import File… → select Export_Buyer_Report.bas.</t>
  </si>
  <si>
    <t>Add button/shape</t>
  </si>
  <si>
    <t>On Buyer_Executive_Report insert a shape and label it Generate Buyer PDF.</t>
  </si>
  <si>
    <t>Assign macro</t>
  </si>
  <si>
    <t>Right-click shape → Assign Macro… → ExportBuyerReport.</t>
  </si>
  <si>
    <t>Use it</t>
  </si>
  <si>
    <t>Click the shape to export the current buyer report to PDF in the workbook folder.</t>
  </si>
  <si>
    <t>GASQ Assumptions &amp; Controls</t>
  </si>
  <si>
    <t>GASQ-branded operating model worksheet</t>
  </si>
  <si>
    <t>Core Controls</t>
  </si>
  <si>
    <t>Direct Labor Wage ($/paid hour)</t>
  </si>
  <si>
    <t>Edit highlighted assumptions only</t>
  </si>
  <si>
    <t>Annual Paid Hours per FTE</t>
  </si>
  <si>
    <t>Annual Productive Coverage Hours per FTE</t>
  </si>
  <si>
    <t>Locality Pay %</t>
  </si>
  <si>
    <t>Shift Differential %</t>
  </si>
  <si>
    <t>OT/Holiday Premium %</t>
  </si>
  <si>
    <t>Labor Market Adjustment %</t>
  </si>
  <si>
    <t>H&amp;W Cash ($/paid hour)</t>
  </si>
  <si>
    <t>Fringe / Employer Burden</t>
  </si>
  <si>
    <t>FICA / Medicare %</t>
  </si>
  <si>
    <t>FUTA %</t>
  </si>
  <si>
    <t>SUTA %</t>
  </si>
  <si>
    <t>Workers Compensation %</t>
  </si>
  <si>
    <t>Health &amp; Welfare ($/paid hour)</t>
  </si>
  <si>
    <t>Vacation %</t>
  </si>
  <si>
    <t>Paid Holidays %</t>
  </si>
  <si>
    <t>Sick Leave %</t>
  </si>
  <si>
    <t>DON/DOFF Minutes per 8-Hour Shift</t>
  </si>
  <si>
    <t>Enter minutes per shift (e.g., 15); model converts minutes ÷ 480 into an hourly premium.</t>
  </si>
  <si>
    <t>Operations / Support</t>
  </si>
  <si>
    <t>Recruiting / Hiring %</t>
  </si>
  <si>
    <t>Training / Certification %</t>
  </si>
  <si>
    <t>Uniforms / Equipment %</t>
  </si>
  <si>
    <t>Field Supervision %</t>
  </si>
  <si>
    <t>Contract Management %</t>
  </si>
  <si>
    <t>Quality Assurance %</t>
  </si>
  <si>
    <t>Vehicles / Patrol %</t>
  </si>
  <si>
    <t>Technology / Systems %</t>
  </si>
  <si>
    <t>General Liability Insurance %</t>
  </si>
  <si>
    <t>Umbrella / Other Insurance %</t>
  </si>
  <si>
    <t>Corporate &amp; Pricing Controls</t>
  </si>
  <si>
    <t>Administrative / HR / Payroll %</t>
  </si>
  <si>
    <t>Accounting / Legal %</t>
  </si>
  <si>
    <t>Corporate Overhead (10%)</t>
  </si>
  <si>
    <t>G&amp;A (8%)</t>
  </si>
  <si>
    <t>Vendor TCO Factor vs Government TCO</t>
  </si>
  <si>
    <t>Vendor Floor Factor vs Vendor TCO</t>
  </si>
  <si>
    <t>Minimum Weekly Hours for Floor Eligibility</t>
  </si>
  <si>
    <t>Government Full Burden Labor Share</t>
  </si>
  <si>
    <t>Government Workforce Hours Basis</t>
  </si>
  <si>
    <t>Government TCO Multiplier vs Direct Labor</t>
  </si>
  <si>
    <t>Model Note</t>
  </si>
  <si>
    <t>Vehicle Tab Drivers</t>
  </si>
  <si>
    <t>Vehicle tab linked into Operations / Vehicles line item</t>
  </si>
  <si>
    <t>Vehicles Required</t>
  </si>
  <si>
    <t>Avg Miles per Vehicle per Day</t>
  </si>
  <si>
    <t>Fuel Cost per Gallon</t>
  </si>
  <si>
    <t>Total Annual Vehicle Cost</t>
  </si>
  <si>
    <t>Vehicle Cost per Labor Hour</t>
  </si>
  <si>
    <t>Custom Annual Escalation %</t>
  </si>
  <si>
    <t>Used when Option Year scenario = Custom.</t>
  </si>
  <si>
    <t>Low Escalation %</t>
  </si>
  <si>
    <t>Medium Escalation %</t>
  </si>
  <si>
    <t>High Escalation %</t>
  </si>
  <si>
    <t>Option Year Override Menu</t>
  </si>
  <si>
    <t>Base</t>
  </si>
  <si>
    <t>Option Yr 1</t>
  </si>
  <si>
    <t>Option Yr 2</t>
  </si>
  <si>
    <t>Option Yr 3</t>
  </si>
  <si>
    <t>Option Yr 4</t>
  </si>
  <si>
    <t>Option Yr 5</t>
  </si>
  <si>
    <t>Override Mode</t>
  </si>
  <si>
    <t>Auto</t>
  </si>
  <si>
    <t>Effective Wage ($/Hr)</t>
  </si>
  <si>
    <t>Manual Wage Override ($/Hr)</t>
  </si>
  <si>
    <t>Effective Weekly Hours</t>
  </si>
  <si>
    <t>Manual Weekly Hours</t>
  </si>
  <si>
    <t>Effective Number of Weeks</t>
  </si>
  <si>
    <t>Manual Number of Weeks</t>
  </si>
  <si>
    <t>Effective Annual Hours</t>
  </si>
  <si>
    <t>Manual Annual Hours</t>
  </si>
  <si>
    <t>Effective Staff Required</t>
  </si>
  <si>
    <t>Manual Staff Required</t>
  </si>
  <si>
    <t>Instructions</t>
  </si>
  <si>
    <t>Set any year to Manual to override wage, weekly hours, weeks, annual hours, or staff. If Manual Annual Hours is blank, the model uses Weekly Hours × Number of Weeks when provided.</t>
  </si>
  <si>
    <t>POST POSITION SUMMARY</t>
  </si>
  <si>
    <t>Qty Required</t>
  </si>
  <si>
    <t>Blended Pay Rate</t>
  </si>
  <si>
    <t>Weekly Hours/Hits</t>
  </si>
  <si>
    <t>Weekly Cost</t>
  </si>
  <si>
    <t>Monthly Hours</t>
  </si>
  <si>
    <t>Monthly Cost</t>
  </si>
  <si>
    <t>Annual Hours/Hits</t>
  </si>
  <si>
    <t>Annual Direct Labor Cost</t>
  </si>
  <si>
    <t>INPUT / CONTROL PANEL</t>
  </si>
  <si>
    <t>User Pay Rate</t>
  </si>
  <si>
    <t>Staff Count</t>
  </si>
  <si>
    <t>Weekly Hours</t>
  </si>
  <si>
    <t>Annual Hours</t>
  </si>
  <si>
    <t>Unarmed S/O</t>
  </si>
  <si>
    <t>Post / Labor Category</t>
  </si>
  <si>
    <t>Supervisor</t>
  </si>
  <si>
    <t>Set pay rate</t>
  </si>
  <si>
    <t>Auto weekly cost</t>
  </si>
  <si>
    <t>Auto monthly cost</t>
  </si>
  <si>
    <t>Rovering Patrol Officer</t>
  </si>
  <si>
    <t>Auto annual cost</t>
  </si>
  <si>
    <t>Auto staff count</t>
  </si>
  <si>
    <t>Input weekly hours</t>
  </si>
  <si>
    <t>Auto monthly hours</t>
  </si>
  <si>
    <t>Input annual hours</t>
  </si>
  <si>
    <t>ESTIMATED TOTAL</t>
  </si>
  <si>
    <t>Control Totals</t>
  </si>
  <si>
    <t>GASQ Uniform &amp; Equipment Module</t>
  </si>
  <si>
    <t>Program Inputs</t>
  </si>
  <si>
    <t>Input / Line Item</t>
  </si>
  <si>
    <t>Value</t>
  </si>
  <si>
    <t>Units</t>
  </si>
  <si>
    <t>Calc / Annualized</t>
  </si>
  <si>
    <t>FTEs</t>
  </si>
  <si>
    <t>Linked from Scope_of_Work</t>
  </si>
  <si>
    <t>Annual Labor Hours</t>
  </si>
  <si>
    <t>hours</t>
  </si>
  <si>
    <t>Uniform Sets per Employee</t>
  </si>
  <si>
    <t>sets/FTE</t>
  </si>
  <si>
    <t>Hardcoded input</t>
  </si>
  <si>
    <t>Cost per Uniform Set</t>
  </si>
  <si>
    <t>$ / set</t>
  </si>
  <si>
    <t>Uniform Useful Life</t>
  </si>
  <si>
    <t>months</t>
  </si>
  <si>
    <t>Annual issue if 12 months</t>
  </si>
  <si>
    <t>Duty Gear Kit per Employee</t>
  </si>
  <si>
    <t>$ / FTE</t>
  </si>
  <si>
    <t>Belts, pouches, accessories</t>
  </si>
  <si>
    <t>Duty Gear Useful Life</t>
  </si>
  <si>
    <t>Annualized over useful life</t>
  </si>
  <si>
    <t>Radio / Device per Employee</t>
  </si>
  <si>
    <t>Phones, radios, chargers</t>
  </si>
  <si>
    <t>Radio / Device Useful Life</t>
  </si>
  <si>
    <t>Badge / ID / Misc. Issue per Employee</t>
  </si>
  <si>
    <t>Initial issue</t>
  </si>
  <si>
    <t>Badge / ID Useful Life</t>
  </si>
  <si>
    <t>Annual Consumables / Small Equipment</t>
  </si>
  <si>
    <t>$ / FTE / year</t>
  </si>
  <si>
    <t>Gloves, batteries, notebooks</t>
  </si>
  <si>
    <t>Spare / Float Inventory Factor</t>
  </si>
  <si>
    <t>%</t>
  </si>
  <si>
    <t>Reserve for extras, turnover</t>
  </si>
  <si>
    <t>Program Management / Logistics Factor</t>
  </si>
  <si>
    <t>Sizing and replacement admin</t>
  </si>
  <si>
    <t>Annual Cost Build</t>
  </si>
  <si>
    <t>Formula</t>
  </si>
  <si>
    <t>Result</t>
  </si>
  <si>
    <t>Comment</t>
  </si>
  <si>
    <t>Initial Uniform Issue</t>
  </si>
  <si>
    <t>$</t>
  </si>
  <si>
    <t>FTEs × sets × cost</t>
  </si>
  <si>
    <t>Annual Uniform Cost</t>
  </si>
  <si>
    <t>$ / year</t>
  </si>
  <si>
    <t>Annualized by useful life</t>
  </si>
  <si>
    <t>Initial Duty Gear Issue</t>
  </si>
  <si>
    <t>FTEs × kit cost</t>
  </si>
  <si>
    <t>Annual Duty Gear Cost</t>
  </si>
  <si>
    <t>Initial Radio / Device Issue</t>
  </si>
  <si>
    <t>FTEs × device cost</t>
  </si>
  <si>
    <t>Annual Radio / Device Cost</t>
  </si>
  <si>
    <t>Initial Badge / ID / Misc. Issue</t>
  </si>
  <si>
    <t>FTEs × issue cost</t>
  </si>
  <si>
    <t>Annual Badge / ID / Misc. Cost</t>
  </si>
  <si>
    <t>Annual Consumables</t>
  </si>
  <si>
    <t>Direct annual cost</t>
  </si>
  <si>
    <t>Subtotal Annual Equipment Cost</t>
  </si>
  <si>
    <t>Before reserve and logistics</t>
  </si>
  <si>
    <t>Spare / Float Inventory Cost</t>
  </si>
  <si>
    <t>Reserve factor</t>
  </si>
  <si>
    <t>Program Management / Logistics</t>
  </si>
  <si>
    <t>Sizing, shipping, admin</t>
  </si>
  <si>
    <t>Total Annual Uniform &amp; Equipment Cost</t>
  </si>
  <si>
    <t>Feeds Operations tab</t>
  </si>
  <si>
    <t>Uniform &amp; Equipment Cost per Labor Hour</t>
  </si>
  <si>
    <t>$ / labor hour</t>
  </si>
  <si>
    <t>Feeds Operations hourly rate</t>
  </si>
  <si>
    <t>Module Checks</t>
  </si>
  <si>
    <t>Check</t>
  </si>
  <si>
    <t>Status</t>
  </si>
  <si>
    <t>FTE link populated</t>
  </si>
  <si>
    <t>Scope link</t>
  </si>
  <si>
    <t>Annual labor hours populated</t>
  </si>
  <si>
    <t>Hourly cost available</t>
  </si>
  <si>
    <t>Operations feed</t>
  </si>
  <si>
    <t>This replacement module annualizes uniforms, duty gear, devices, ID issue, and consumables, then converts the total into a cost per labor hour for the Operations tab.</t>
  </si>
  <si>
    <t>GASQ Vehicle / Patrol Cost Model</t>
  </si>
  <si>
    <t>Vehicle Assumptions</t>
  </si>
  <si>
    <t>Line Item</t>
  </si>
  <si>
    <t>Input / Formula</t>
  </si>
  <si>
    <t>vehicles</t>
  </si>
  <si>
    <t>User input</t>
  </si>
  <si>
    <t>Average Miles per Vehicle per Day</t>
  </si>
  <si>
    <t>miles/day</t>
  </si>
  <si>
    <t>Operating Days per Week</t>
  </si>
  <si>
    <t>days/week</t>
  </si>
  <si>
    <t>Weeks of Coverage</t>
  </si>
  <si>
    <t>weeks/year</t>
  </si>
  <si>
    <t>Fuel Economy</t>
  </si>
  <si>
    <t>mpg</t>
  </si>
  <si>
    <t>$/gallon</t>
  </si>
  <si>
    <t>Maintenance Cost per Mile</t>
  </si>
  <si>
    <t>$/mile</t>
  </si>
  <si>
    <t>Monthly Lease / Payment per Vehicle</t>
  </si>
  <si>
    <t>$/month</t>
  </si>
  <si>
    <t>Monthly Insurance per Vehicle</t>
  </si>
  <si>
    <t>Monthly GPS / Telematics per Vehicle</t>
  </si>
  <si>
    <t>Annual Registration / Tags per Vehicle</t>
  </si>
  <si>
    <t>$/year</t>
  </si>
  <si>
    <t>Vehicle Cost Calculations</t>
  </si>
  <si>
    <t>Daily Fleet Miles</t>
  </si>
  <si>
    <t>Annual Fleet Miles</t>
  </si>
  <si>
    <t>miles/year</t>
  </si>
  <si>
    <t>Annual Fuel Gallons</t>
  </si>
  <si>
    <t>gallons/year</t>
  </si>
  <si>
    <t>Annual Fuel Cost</t>
  </si>
  <si>
    <t>Annual Maintenance Cost</t>
  </si>
  <si>
    <t>Annual Lease / Payment Cost</t>
  </si>
  <si>
    <t>Annual Insurance Cost</t>
  </si>
  <si>
    <t>Annual GPS / Telematics Cost</t>
  </si>
  <si>
    <t>Annual Registration / Tags</t>
  </si>
  <si>
    <t>Vehicle Cost per Annual Labor Hour</t>
  </si>
  <si>
    <t>$/labor hr</t>
  </si>
  <si>
    <t>Vehicle Cost per Productive Coverage Hour</t>
  </si>
  <si>
    <t>$/coverage hr</t>
  </si>
  <si>
    <t>This tab calculates annual fleet cost and converts it into an hourly rate that feeds the Operations tab. Yellow cells are user inputs.</t>
  </si>
  <si>
    <t>Training Description</t>
  </si>
  <si>
    <t>Hours</t>
  </si>
  <si>
    <t>Training Wage</t>
  </si>
  <si>
    <t>Training Cost Per Hour</t>
  </si>
  <si>
    <t>Employees Trained</t>
  </si>
  <si>
    <t>Instructor Cost</t>
  </si>
  <si>
    <t>Equipment Cost</t>
  </si>
  <si>
    <t>Certification Fee</t>
  </si>
  <si>
    <t>Travel Cost</t>
  </si>
  <si>
    <t>CPR / First Aid / AED</t>
  </si>
  <si>
    <t>Pre‑Assignment Training</t>
  </si>
  <si>
    <t>Field Training</t>
  </si>
  <si>
    <t>Weapons Training</t>
  </si>
  <si>
    <t>Site Specific Training</t>
  </si>
  <si>
    <t>Supervisor Training</t>
  </si>
  <si>
    <t>Annual Refresher</t>
  </si>
  <si>
    <t>Total Training Cost</t>
  </si>
  <si>
    <t>Item</t>
  </si>
  <si>
    <t>Cost Per Unit</t>
  </si>
  <si>
    <t>Quantity</t>
  </si>
  <si>
    <t>Replacement Cycle (Years)</t>
  </si>
  <si>
    <t>Annualized Cost</t>
  </si>
  <si>
    <t>Uniform</t>
  </si>
  <si>
    <t>Radio</t>
  </si>
  <si>
    <t>Body Armor</t>
  </si>
  <si>
    <t>Flashlight</t>
  </si>
  <si>
    <t>Duty Belt</t>
  </si>
  <si>
    <t>Total Annual Equipment Cost</t>
  </si>
  <si>
    <t>CFO Bill Rate Breakdown</t>
  </si>
  <si>
    <t>Consolidated line-by-line build of the GASQ should-cost model with hourly and annual amounts.</t>
  </si>
  <si>
    <t>Description</t>
  </si>
  <si>
    <t>Hourly Amount</t>
  </si>
  <si>
    <t>Annual Amount</t>
  </si>
  <si>
    <t>Module Feeds (Memo Only - Included Above Where Applicable)</t>
  </si>
  <si>
    <t>GASQ Price Realism Review</t>
  </si>
  <si>
    <t>Training Program Cost per Labor Hour</t>
  </si>
  <si>
    <t>Benchmark Rates</t>
  </si>
  <si>
    <t>Total Bill Rate</t>
  </si>
  <si>
    <t>Government Should-Cost TCO Benchmark</t>
  </si>
  <si>
    <t>Vendor TCO Benchmark</t>
  </si>
  <si>
    <t>Reserved Should-Cost Government Rate</t>
  </si>
  <si>
    <t>Capital Recovery Opportunity</t>
  </si>
  <si>
    <t>Market Target Rate</t>
  </si>
  <si>
    <t>Vendor Premium / (Discount) vs GASQ</t>
  </si>
  <si>
    <t>Vendor Total Cost of Ownership Rate</t>
  </si>
  <si>
    <t>Reconciliation Check</t>
  </si>
  <si>
    <t>Evaluation Grid</t>
  </si>
  <si>
    <t>Vendor</t>
  </si>
  <si>
    <t>Bid Rate</t>
  </si>
  <si>
    <t>Delta vs Gov TCO</t>
  </si>
  <si>
    <t>Delta %</t>
  </si>
  <si>
    <t>Benchmark Position</t>
  </si>
  <si>
    <t>Recommendation</t>
  </si>
  <si>
    <t>Typical Federal-Style Logic</t>
  </si>
  <si>
    <t>Below floor suggests performance risk. Bids within target/ceiling range are generally the most defensible.</t>
  </si>
  <si>
    <t>GASQ Workforce-to-Post™ Capital Recovery Appraisal Full Scope Report</t>
  </si>
  <si>
    <t>Workforce Total Cost of Ownership (TCO) -vs- Vendor Outsourced Security Services</t>
  </si>
  <si>
    <t xml:space="preserve">Prepared for: </t>
  </si>
  <si>
    <t>Appraisal Comparison Summary</t>
  </si>
  <si>
    <t>DESCRIPTION</t>
  </si>
  <si>
    <t>DIFFERENCE
SAVED</t>
  </si>
  <si>
    <t>Workforce Baseline Assumption Labor Rate + Fringe Benefits</t>
  </si>
  <si>
    <t>Workforce Hourly Cost Per Security Professional</t>
  </si>
  <si>
    <t>Overtime/Holiday Rate</t>
  </si>
  <si>
    <t>Workforce Annual Cost per Security Professional</t>
  </si>
  <si>
    <t>Total Weekly Hours of Coverage</t>
  </si>
  <si>
    <t>Total Monthly Hours of Coverage</t>
  </si>
  <si>
    <t>Total Annual Hours of Coverage</t>
  </si>
  <si>
    <t>Total Weeks of Coverage</t>
  </si>
  <si>
    <t>Total Workforce Required for Coverage</t>
  </si>
  <si>
    <t>Total Weekly Cost</t>
  </si>
  <si>
    <t>Total Monthly Cost</t>
  </si>
  <si>
    <t>Total Annual Cost</t>
  </si>
  <si>
    <t>Operational Capital Recovered</t>
  </si>
  <si>
    <t>Operational Capital Recovered (%)</t>
  </si>
  <si>
    <t>Payback &amp; Recovery Period</t>
  </si>
  <si>
    <t>Coverage Statement</t>
  </si>
  <si>
    <t>All price calculations include the full cost of workforce staffing and support services, including but not limited to: livable base wages, employer-paid payroll taxes (FICA, FUTA, SUTA), workers’ compensation, general liability insurance, unemployment insurance, paid time off, healthcare and fringe benefits, uniforms and equipment, onboarding and training, site supervision, quality assurance oversight, management and administrative support, 24/7 dispatch capability, compliance with local, state, and federal labor laws, and all service-level guarantees (including open post protection, vendor replacement, and price lock guarantees) unless otherwise specified.</t>
  </si>
  <si>
    <t>"CFO Tested. CFO Approved"</t>
  </si>
  <si>
    <t>(470) 633-2816 | info@getasecurityquote.com | getasecurityquotenow.com</t>
  </si>
  <si>
    <t>Key Components of the GetASecurityQuote Security Capital Recovery Report</t>
  </si>
  <si>
    <t>Direct Labor Costs</t>
  </si>
  <si>
    <t>• Wages: Hourly pay for each guard (based on market, union scale, or livable wage rates)</t>
  </si>
  <si>
    <t>• Overtime: If scheduling exceeds 40 hours/week per guard or during holidays</t>
  </si>
  <si>
    <t>• Paid Non-Worked Hours: Includes holidays, sick leave, vacation, training</t>
  </si>
  <si>
    <t>Mandatory Payroll Burden</t>
  </si>
  <si>
    <t>• Employer Taxes: FICA, FUTA, SUTA, Medicare</t>
  </si>
  <si>
    <t>• Workers’ Compensation Insurance: Risk-rated by job classification (high for security)</t>
  </si>
  <si>
    <t>• Unemployment Insurance</t>
  </si>
  <si>
    <t>• General Liability Insurance</t>
  </si>
  <si>
    <t>Employee Benefits</t>
  </si>
  <si>
    <t>• Health Insurance</t>
  </si>
  <si>
    <t>• Retirement Contributions (401k, pensions)</t>
  </si>
  <si>
    <t>• Life &amp; Disability Insurance</t>
  </si>
  <si>
    <t>• Uniforms &amp; Equipment</t>
  </si>
  <si>
    <t>• Background Checks, Drug Screening, Licensing Fees</t>
  </si>
  <si>
    <t>Mandatory Insurance &amp; Statutory Coverage</t>
  </si>
  <si>
    <t>• Workman’s Compensation Insurance</t>
  </si>
  <si>
    <t>• Paid sick leave</t>
  </si>
  <si>
    <t>• General liability insurance</t>
  </si>
  <si>
    <t>Supervision &amp; Management</t>
  </si>
  <si>
    <t>• Field Supervisors or Account Managers</t>
  </si>
  <si>
    <t>• Scheduling &amp; Admin Staff</t>
  </si>
  <si>
    <t>• On-call Management Support</t>
  </si>
  <si>
    <t>Workforce Maintenance Cost</t>
  </si>
  <si>
    <t>• Recruiting, Hiring, and Turnover Costs</t>
  </si>
  <si>
    <t>• Training (initial + recurring)</t>
  </si>
  <si>
    <t>• Vehicles (if patrol is required)</t>
  </si>
  <si>
    <t>• Office Space, Software, Timekeeping Systems</t>
  </si>
  <si>
    <t>Risk &amp; Liability Exposure</t>
  </si>
  <si>
    <t>• Legal &amp; HR Costs for employee discipline or claims</t>
  </si>
  <si>
    <t>• Potential for coverage gaps or untrained guards on post</t>
  </si>
  <si>
    <t>Additional Information</t>
  </si>
  <si>
    <t>Additional Email or Vendor Name:</t>
  </si>
  <si>
    <t>Company:</t>
  </si>
  <si>
    <t>Email:</t>
  </si>
  <si>
    <t>Additional Information:</t>
  </si>
  <si>
    <t>Notes:</t>
  </si>
  <si>
    <t>GASQ Direct Labor Build-Up</t>
  </si>
  <si>
    <t>Base Consolidated Blended Direct Labor Wage</t>
  </si>
  <si>
    <t xml:space="preserve">Locality Pay </t>
  </si>
  <si>
    <t>Labor Market Adjustment</t>
  </si>
  <si>
    <t>H&amp;W (Cash)</t>
  </si>
  <si>
    <t>Shift Differential</t>
  </si>
  <si>
    <t>OT/Holiday Premium</t>
  </si>
  <si>
    <t>DON/DOFF</t>
  </si>
  <si>
    <t>Total Direct Labor</t>
  </si>
  <si>
    <t>Input (or weighted blended pay wage from Post_Positions only), plus locality, labor market, other direct-pay premiums, and DON/DOFF before burden is applied.</t>
  </si>
  <si>
    <t>GASQ Fringe &amp; Employer Burden</t>
  </si>
  <si>
    <t>FICA / Medicare</t>
  </si>
  <si>
    <t>FUTA</t>
  </si>
  <si>
    <t>SUTA</t>
  </si>
  <si>
    <t>Workers Compensation</t>
  </si>
  <si>
    <t>Health &amp; Welfare</t>
  </si>
  <si>
    <t>Vacation</t>
  </si>
  <si>
    <t>Paid Holidays</t>
  </si>
  <si>
    <t>Sick Leave</t>
  </si>
  <si>
    <t>Total Fringe / Burden</t>
  </si>
  <si>
    <t>Total Direct Labor + Fringe</t>
  </si>
  <si>
    <t>GASQ Operations &amp; Contract Support (Integrated)</t>
  </si>
  <si>
    <t>Recruiting / Hiring</t>
  </si>
  <si>
    <t>Training / Certification</t>
  </si>
  <si>
    <t>Uniforms / Equipment</t>
  </si>
  <si>
    <t>Field Supervision</t>
  </si>
  <si>
    <t>Contract Management</t>
  </si>
  <si>
    <t>Quality Assurance</t>
  </si>
  <si>
    <t>Vehicles / Patrol</t>
  </si>
  <si>
    <t>Technology / Systems</t>
  </si>
  <si>
    <t>General Liability Insurance</t>
  </si>
  <si>
    <t>Umbrella / Other Insurance</t>
  </si>
  <si>
    <t>Total Operations / Support</t>
  </si>
  <si>
    <t>GASQ Overhead, G&amp;A, and Profit (Integrated)</t>
  </si>
  <si>
    <t>Administrative / HR / Payroll</t>
  </si>
  <si>
    <t>Accounting / Legal</t>
  </si>
  <si>
    <t>Corporate Overhead</t>
  </si>
  <si>
    <t>G&amp;A</t>
  </si>
  <si>
    <t>Profit / Fee</t>
  </si>
  <si>
    <t>Total Overhead / G&amp;A / Profit</t>
  </si>
  <si>
    <t>Total Fully Burdened Labor Cost Stack</t>
  </si>
  <si>
    <t>Master hourly / annual total feeding CFO</t>
  </si>
  <si>
    <t>GASQ Additional Cost Stack</t>
  </si>
  <si>
    <t>Merged view of Vehicle, Uniform &amp; Equipment, and Workforce Maintenance costs</t>
  </si>
  <si>
    <t>Module</t>
  </si>
  <si>
    <t>Source Tab</t>
  </si>
  <si>
    <t>Hourly Cost</t>
  </si>
  <si>
    <t>Vehicle / Patrol</t>
  </si>
  <si>
    <t>Vehicle</t>
  </si>
  <si>
    <t>Uniform &amp; Equipment</t>
  </si>
  <si>
    <t>Uniform_Equipment</t>
  </si>
  <si>
    <t>Workforce Maintenance</t>
  </si>
  <si>
    <t>Workforce_Maintenance_Module</t>
  </si>
  <si>
    <t>Training</t>
  </si>
  <si>
    <t>Training_Module</t>
  </si>
  <si>
    <t>Total Additional Cost</t>
  </si>
  <si>
    <t>Note</t>
  </si>
  <si>
    <t>Source tabs remain in the workbook for audit support. Additional Cost is the consolidated operating view.</t>
  </si>
  <si>
    <t>GASQ Option Year Analysis</t>
  </si>
  <si>
    <t>Base Year + Option Years 1-4 with hourly and annual cost by line item</t>
  </si>
  <si>
    <t>Escalation Scenario</t>
  </si>
  <si>
    <t>Medium</t>
  </si>
  <si>
    <t>Custom Escalation %</t>
  </si>
  <si>
    <t>Base Annual Hours</t>
  </si>
  <si>
    <t>Applied Escalation %</t>
  </si>
  <si>
    <t>Vendor Benchmark $/Hr</t>
  </si>
  <si>
    <t>Appraisal Vendor $/Hr</t>
  </si>
  <si>
    <t>Base $/Hr</t>
  </si>
  <si>
    <t>Base Annual</t>
  </si>
  <si>
    <t>Opt Yr 1 $/Hr</t>
  </si>
  <si>
    <t>Opt Yr 1 Annual</t>
  </si>
  <si>
    <t>Opt Yr 2 $/Hr</t>
  </si>
  <si>
    <t>Opt Yr 2 Annual</t>
  </si>
  <si>
    <t>Opt Yr 3 $/Hr</t>
  </si>
  <si>
    <t>Opt Yr 3 Annual</t>
  </si>
  <si>
    <t>Opt Yr 4 $/Hr</t>
  </si>
  <si>
    <t>Opt Yr 4 Annual</t>
  </si>
  <si>
    <t xml:space="preserve">Total Contract Value </t>
  </si>
  <si>
    <t>Total Contract Value  Avg $/Hr</t>
  </si>
  <si>
    <t>Key Totals &amp; Market Comparison</t>
  </si>
  <si>
    <t>Appraisal Benchmark Driver (Rate × Annual Hours)</t>
  </si>
  <si>
    <t>Benchmark Delta vs Total Bill Rate</t>
  </si>
  <si>
    <t>Contract Economics Summary</t>
  </si>
  <si>
    <t>Total Bill Rate (5-Year Annual Total)</t>
  </si>
  <si>
    <t>Should-Cost Benchmark (5-Year Annual Total)</t>
  </si>
  <si>
    <t>Capital Recovery Opportunity (5-Year Annual Total)</t>
  </si>
  <si>
    <t>Vendor Premium / (Discount) vs GASQ (5-Year Annual Total)</t>
  </si>
  <si>
    <t>Option Year Driver Summary</t>
  </si>
  <si>
    <t>Number of Weeks</t>
  </si>
  <si>
    <t>Total Annual Hours</t>
  </si>
  <si>
    <t>Staff Required</t>
  </si>
  <si>
    <t>Edit overrides on Inputs!A62:F75.</t>
  </si>
  <si>
    <t>GASQ CLIN Pricing Template</t>
  </si>
  <si>
    <t>Directly mapped to Option Year calculator logic for Base Year and Option Years 1-4</t>
  </si>
  <si>
    <t>Benchmark Driver</t>
  </si>
  <si>
    <t>CLIN</t>
  </si>
  <si>
    <t>Total Contract Value</t>
  </si>
  <si>
    <t>Total Contract Value Avg $/Hr</t>
  </si>
  <si>
    <t>Base Recovery Alloc</t>
  </si>
  <si>
    <t>Opt Yr 1 Recovery Alloc</t>
  </si>
  <si>
    <t>Opt Yr 2 Recovery Alloc</t>
  </si>
  <si>
    <t>Opt Yr 3 Recovery Alloc</t>
  </si>
  <si>
    <t>Opt Yr 4 Recovery Alloc</t>
  </si>
  <si>
    <t>5-Yr Recovery Alloc</t>
  </si>
  <si>
    <t>CLIN-0001</t>
  </si>
  <si>
    <t>CLIN-0002</t>
  </si>
  <si>
    <t>CLIN-0003</t>
  </si>
  <si>
    <t>CLIN-0004</t>
  </si>
  <si>
    <t>CLIN-0005</t>
  </si>
  <si>
    <t>CLIN-0006</t>
  </si>
  <si>
    <t>CLIN-0007</t>
  </si>
  <si>
    <t>CLIN-0008</t>
  </si>
  <si>
    <t>CLIN-0009</t>
  </si>
  <si>
    <t>CLIN-0010</t>
  </si>
  <si>
    <t>CLIN-0011</t>
  </si>
  <si>
    <t>CLIN-0012</t>
  </si>
  <si>
    <t>CLIN-0013</t>
  </si>
  <si>
    <t>CLIN-0014</t>
  </si>
  <si>
    <t>CLIN-0015</t>
  </si>
  <si>
    <t>CLIN-0016</t>
  </si>
  <si>
    <t>CLIN-0017</t>
  </si>
  <si>
    <t>CLIN-0018</t>
  </si>
  <si>
    <t>CLIN-0019</t>
  </si>
  <si>
    <t>CLIN-0020</t>
  </si>
  <si>
    <t>CLIN-0021</t>
  </si>
  <si>
    <t>CLIN-0022</t>
  </si>
  <si>
    <t>CLIN-0023</t>
  </si>
  <si>
    <t>CLIN-0024</t>
  </si>
  <si>
    <t>CLIN-0025</t>
  </si>
  <si>
    <t>CLIN-0026</t>
  </si>
  <si>
    <t>CLIN-0027</t>
  </si>
  <si>
    <t>CLIN-0028</t>
  </si>
  <si>
    <t>CLIN-0029</t>
  </si>
  <si>
    <t>CLIN-0030</t>
  </si>
  <si>
    <t>CLIN-0031</t>
  </si>
  <si>
    <t>CLIN-0032</t>
  </si>
  <si>
    <t>CLIN-0033</t>
  </si>
  <si>
    <t>CLIN-0034</t>
  </si>
  <si>
    <t>CLIN-0035</t>
  </si>
  <si>
    <t>CLIN-0036</t>
  </si>
  <si>
    <t>CLIN-0037</t>
  </si>
  <si>
    <t>CLIN-0038</t>
  </si>
  <si>
    <t>CLIN-0039</t>
  </si>
  <si>
    <t>CLIN-0040</t>
  </si>
  <si>
    <t>CLIN-0041</t>
  </si>
  <si>
    <t>TOTAL</t>
  </si>
  <si>
    <t>Mapped contract totals / allocated recovery check</t>
  </si>
  <si>
    <t>GASQ Contract Value Waterfall</t>
  </si>
  <si>
    <t>Base Year through Option Year 4 annual economics</t>
  </si>
  <si>
    <t>Contract Year</t>
  </si>
  <si>
    <t>Should-Cost Annual</t>
  </si>
  <si>
    <t>Benchmark Annual</t>
  </si>
  <si>
    <t>Capital Recovery</t>
  </si>
  <si>
    <t>Cumulative Recovery</t>
  </si>
  <si>
    <t>Base Year</t>
  </si>
  <si>
    <t>Option Year 1</t>
  </si>
  <si>
    <t>Option Year 2</t>
  </si>
  <si>
    <t>Option Year 3</t>
  </si>
  <si>
    <t>Option Year 4</t>
  </si>
  <si>
    <t>5-Year Total</t>
  </si>
  <si>
    <t>Scenario</t>
  </si>
  <si>
    <t>Escalation %</t>
  </si>
  <si>
    <t>Line-Item Capital Recovery Detail</t>
  </si>
  <si>
    <t>Opt Yr 1</t>
  </si>
  <si>
    <t>Opt Yr 2</t>
  </si>
  <si>
    <t>Opt Yr 3</t>
  </si>
  <si>
    <t>Opt Yr 4</t>
  </si>
  <si>
    <t>Total Allocated Recovery</t>
  </si>
  <si>
    <t>GASQ Executive Summary</t>
  </si>
  <si>
    <t>GASQ brand refresh | TCO + Capital Recovery model | formulas reviewed and corrected</t>
  </si>
  <si>
    <t>Key Outputs</t>
  </si>
  <si>
    <t>Annual Total Cost of Ownership</t>
  </si>
  <si>
    <t>Annual Uniform &amp; Equipment Cost</t>
  </si>
  <si>
    <t>Vendor TCO Full Burden Rate</t>
  </si>
  <si>
    <t>Vendor Absorbed Rate</t>
  </si>
  <si>
    <t>Vendor Target Rate</t>
  </si>
  <si>
    <t>Vendor Ceiling Rate</t>
  </si>
  <si>
    <t>Capital Recovery per Hour</t>
  </si>
  <si>
    <t>Annual Vehicle Cost</t>
  </si>
  <si>
    <t>Annual Capital Recovery Saved (Vendor TCO)</t>
  </si>
  <si>
    <t>Model Checks &amp; Cross-References</t>
  </si>
  <si>
    <t>Buyer vs Vendor Comparison</t>
  </si>
  <si>
    <t>Vendor TCO Annual Savings</t>
  </si>
  <si>
    <t>Vendor Target Annual Savings</t>
  </si>
  <si>
    <t>Vendor Floor Annual Savings</t>
  </si>
  <si>
    <t>Burden Build</t>
  </si>
  <si>
    <t>Burden Check</t>
  </si>
  <si>
    <t>Vendor Pricing Guardrails (Merged from Vendor_Pricing)</t>
  </si>
  <si>
    <t>Source</t>
  </si>
  <si>
    <t>Government/Buyer Should Cost per Coverage Hour</t>
  </si>
  <si>
    <t>Vendor_Pricing!B4</t>
  </si>
  <si>
    <t>Benchmark from Appraisal/CFO</t>
  </si>
  <si>
    <t>Vendor_Pricing!B5</t>
  </si>
  <si>
    <t>Primary vendor benchmark</t>
  </si>
  <si>
    <t>Vendor LPTA Absorbed Rate</t>
  </si>
  <si>
    <t>Vendor_Pricing!B6</t>
  </si>
  <si>
    <t>Lowest Price Technically Acceptable</t>
  </si>
  <si>
    <t>Vendor_Pricing!B7</t>
  </si>
  <si>
    <t>Midpoint of guardrail range</t>
  </si>
  <si>
    <t>Vendor TCO Rate</t>
  </si>
  <si>
    <t>Vendor_Pricing!B8</t>
  </si>
  <si>
    <t>Upper benchmark rate</t>
  </si>
  <si>
    <t>Capital Recovery Saved per Hour</t>
  </si>
  <si>
    <t>Vendor_Pricing!B9</t>
  </si>
  <si>
    <t>Savings vs buyer should-cost</t>
  </si>
  <si>
    <t>Annual Capital Recovery Saved</t>
  </si>
  <si>
    <t>Vendor_Pricing!B10</t>
  </si>
  <si>
    <t>Annualized savings</t>
  </si>
  <si>
    <t>Vendor_Pricing!B11</t>
  </si>
  <si>
    <t>Eligibility threshold</t>
  </si>
  <si>
    <t>Blended Actual Bill Rate</t>
  </si>
  <si>
    <t>Vendor_Pricing!B12</t>
  </si>
  <si>
    <t>Actual linked or manual rate</t>
  </si>
  <si>
    <t>Buyer vs Vendor Comparison (Merged from Buyer_Vendor_Comparison)</t>
  </si>
  <si>
    <t>Buyer / Government</t>
  </si>
  <si>
    <t>Rate per Productive Coverage Hour</t>
  </si>
  <si>
    <t>Comparison Highlights</t>
  </si>
  <si>
    <t>Buyer annual in-house/government-equivalent cost</t>
  </si>
  <si>
    <t>Vendor annual cost at TCO rate</t>
  </si>
  <si>
    <t>Vendor annual cost at target rate</t>
  </si>
  <si>
    <t>Vendor annual cost at floor rate</t>
  </si>
  <si>
    <t>Best annual capital recovery using vendor floor</t>
  </si>
  <si>
    <t>GASQ Security Cost Dashboard</t>
  </si>
  <si>
    <t>Cost Comparison</t>
  </si>
  <si>
    <t>Amount</t>
  </si>
  <si>
    <t>In-House TCO</t>
  </si>
  <si>
    <t>Outsourced TCO</t>
  </si>
  <si>
    <t>Capital Recovered</t>
  </si>
  <si>
    <t>Cost Breakdown</t>
  </si>
  <si>
    <t>Category</t>
  </si>
  <si>
    <t>Cost</t>
  </si>
  <si>
    <t>Employer Burden</t>
  </si>
  <si>
    <t>Equipment</t>
  </si>
  <si>
    <t>Admin</t>
  </si>
  <si>
    <t>Vendor Price Evaluation</t>
  </si>
  <si>
    <t>Range</t>
  </si>
  <si>
    <t>Rate</t>
  </si>
  <si>
    <t>Vendor Lowest Price Technically Accepted (LPTA) Rate</t>
  </si>
  <si>
    <t>Capital Recovery Timeline</t>
  </si>
  <si>
    <t>Month</t>
  </si>
  <si>
    <t>Savings</t>
  </si>
  <si>
    <t>GASQ Workforce-to-Post™ Capital Recovery Contract Summary</t>
  </si>
  <si>
    <t>Executive contract summary with TCO, pricing guardrails, and capital recovery outputs</t>
  </si>
  <si>
    <t>CONFIDENTIAL</t>
  </si>
  <si>
    <t>Contract Economics</t>
  </si>
  <si>
    <t>Weekly Billings (excluding holiday billings)</t>
  </si>
  <si>
    <t>Should-Cost Straight Time Pay Rate</t>
  </si>
  <si>
    <t>Blended Straight Time Bill Rate</t>
  </si>
  <si>
    <t>Overtime Bill Rate</t>
  </si>
  <si>
    <t>Holiday Bill Rate</t>
  </si>
  <si>
    <t>Effective Pay Rate</t>
  </si>
  <si>
    <t>Effective Bill Rate</t>
  </si>
  <si>
    <t>Effective Direct Labor Ratio</t>
  </si>
  <si>
    <t>Effective Markup</t>
  </si>
  <si>
    <t>Revenue &amp; Cost Summary</t>
  </si>
  <si>
    <t>Total Annual Revenue (from hourly billings) *</t>
  </si>
  <si>
    <t>Vehicle and Other Pass Through Billings</t>
  </si>
  <si>
    <t>Total Annual Contract Revenue *</t>
  </si>
  <si>
    <t>Direct Expense</t>
  </si>
  <si>
    <t>Vehicle and Other Pass Through Costs</t>
  </si>
  <si>
    <t>Total Annual Costs *</t>
  </si>
  <si>
    <t>Contributory Profit</t>
  </si>
  <si>
    <t>Profit as a % of Revenue</t>
  </si>
  <si>
    <t>Contributory Profit Per Hour</t>
  </si>
  <si>
    <t>Working Capital Requirement</t>
  </si>
  <si>
    <t>Payback &amp; Recovery Period (months)</t>
  </si>
  <si>
    <t>Vendor True Cost of Ownership Rate</t>
  </si>
  <si>
    <t>Guardrails &amp; Rating</t>
  </si>
  <si>
    <t>Current Weekly Hours Eligibility Status</t>
  </si>
  <si>
    <t>Target Position within Floor-to-Ceiling Range</t>
  </si>
  <si>
    <t>GASQ Cost Rating Grade</t>
  </si>
  <si>
    <t>Total Months of Coverage</t>
  </si>
  <si>
    <t>* Total contract amounts shown assume the current annual coverage requirement from the GASQ model. Modify Scope_of_Work inputs to update automatically.</t>
  </si>
  <si>
    <t>Days/Hours</t>
  </si>
  <si>
    <t>Employees</t>
  </si>
  <si>
    <t>Cost Per Hour</t>
  </si>
  <si>
    <t>Total Cost</t>
  </si>
  <si>
    <t>Vacation Days</t>
  </si>
  <si>
    <t>Sick Days</t>
  </si>
  <si>
    <t>Holiday Pay</t>
  </si>
  <si>
    <t>Turnover Replacement</t>
  </si>
  <si>
    <t>Total Workforce Maintenance Cost</t>
  </si>
  <si>
    <t>Cost Category</t>
  </si>
  <si>
    <t>Input</t>
  </si>
  <si>
    <t>Formula / Notes</t>
  </si>
  <si>
    <t>Direct Labor Rate</t>
  </si>
  <si>
    <t>User Input</t>
  </si>
  <si>
    <t>Burden Build Up</t>
  </si>
  <si>
    <t>Linked from Workforce_Maintenance_Module</t>
  </si>
  <si>
    <t>Training Cost</t>
  </si>
  <si>
    <t>Linked from Training_Module</t>
  </si>
  <si>
    <t>Linked from Equipment_Uniform_Module</t>
  </si>
  <si>
    <t>Total Estimated Cost</t>
  </si>
  <si>
    <t>GASQ Vendor Pricing Guardrails</t>
  </si>
  <si>
    <t>Rates benchmarked to GASQ government TCO, vendor TCO, floor, and target guardrails.</t>
  </si>
  <si>
    <t>Pricing Model</t>
  </si>
  <si>
    <t xml:space="preserve">Vendor Lowest Price Technically Accepted Absorbed  Rate </t>
  </si>
  <si>
    <t xml:space="preserve">Vendor TCO Rate </t>
  </si>
  <si>
    <t>Blended Actual Bill Rate from Post_Positions</t>
  </si>
  <si>
    <t>Feed Status</t>
  </si>
  <si>
    <t>Vendor Evaluation Inputs</t>
  </si>
  <si>
    <t>Vendor Weekly Hours Billed</t>
  </si>
  <si>
    <t>Floor Eligible?</t>
  </si>
  <si>
    <t>Enter bidder rate and weekly hours only</t>
  </si>
  <si>
    <t>Initial Interpretation</t>
  </si>
  <si>
    <t>Vendor 1</t>
  </si>
  <si>
    <t>Vendor 2</t>
  </si>
  <si>
    <t>Vendor 3</t>
  </si>
  <si>
    <t>Vendor 4</t>
  </si>
  <si>
    <t>Vendor 5</t>
  </si>
  <si>
    <t>GASQ Security Cost Rating Report™</t>
  </si>
  <si>
    <t>Automated grading of the active roster rate against floor, target, and ceiling guardrails.</t>
  </si>
  <si>
    <t>Government TCO Benchmark</t>
  </si>
  <si>
    <t>Government-style TCO per productive hour.</t>
  </si>
  <si>
    <t>Vendor Absorbed Floor</t>
  </si>
  <si>
    <t>Minimum sustainable absorbed floor.</t>
  </si>
  <si>
    <t>Preferred best-value band midpoint.</t>
  </si>
  <si>
    <t>Vendor Ceiling</t>
  </si>
  <si>
    <t>Upper sustainable range benchmark.</t>
  </si>
  <si>
    <t>Actual Blended Bill Rate</t>
  </si>
  <si>
    <t>Current blended rate from roster if active.</t>
  </si>
  <si>
    <t>Delta vs Target</t>
  </si>
  <si>
    <t>Security Cost Position</t>
  </si>
  <si>
    <t>Used for grade logic.</t>
  </si>
  <si>
    <t>SCRS Grade</t>
  </si>
  <si>
    <t>A = best value; D = high risk underbid.</t>
  </si>
  <si>
    <t>Executive Recommendation</t>
  </si>
  <si>
    <t>Capital Recovery %</t>
  </si>
  <si>
    <t>GASQ Capital Recovery Receipt™</t>
  </si>
  <si>
    <t>Point-of-sale style summary of annual and hourly economics for buyer-facing review.</t>
  </si>
  <si>
    <t>Should-Cost  View</t>
  </si>
  <si>
    <t>Vendor / GASQ View</t>
  </si>
  <si>
    <t>Receipt Notes</t>
  </si>
  <si>
    <t>Coverage Hours (Annual)</t>
  </si>
  <si>
    <t>Shows the government benchmark and GASQ alternative side by side.</t>
  </si>
  <si>
    <t>Hourly Rate</t>
  </si>
  <si>
    <t>Vendor/GASQ view uses active blended roster rate when available.</t>
  </si>
  <si>
    <t>All-in annual view includes recurring training, maintenance, and equipment.</t>
  </si>
  <si>
    <t>Training Annual</t>
  </si>
  <si>
    <t>Capital recovered = benchmark all-in annual cost less GASQ all-in annual cost.</t>
  </si>
  <si>
    <t>Workforce Maintenance Annual</t>
  </si>
  <si>
    <t>Use this sheet as the buyer-safe summary.</t>
  </si>
  <si>
    <t>Equipment / Uniform Annual</t>
  </si>
  <si>
    <t>All-In Annual View</t>
  </si>
  <si>
    <t>Capital Recovered ($)</t>
  </si>
  <si>
    <t>Capital Recovered (%)</t>
  </si>
  <si>
    <t>GASQ Vendor Price Evaluation</t>
  </si>
  <si>
    <t>Evaluates sample and actual rates against the floor, target, and ceiling bands.</t>
  </si>
  <si>
    <t>Vendor / Scenario</t>
  </si>
  <si>
    <t>Band</t>
  </si>
  <si>
    <t>Absorbed Floor</t>
  </si>
  <si>
    <t>Target</t>
  </si>
  <si>
    <t>Ceiling</t>
  </si>
  <si>
    <t>Actual Blended Rate</t>
  </si>
  <si>
    <t>GASQ Government IGCE Comparison</t>
  </si>
  <si>
    <t>Compares the government-style estimate to the active GASQ roster-driven model.</t>
  </si>
  <si>
    <t>Cost Component</t>
  </si>
  <si>
    <t>Government IGCE</t>
  </si>
  <si>
    <t>GASQ Active Model</t>
  </si>
  <si>
    <t>Variance</t>
  </si>
  <si>
    <t>Variance %</t>
  </si>
  <si>
    <t>Direct Labor Build-Up</t>
  </si>
  <si>
    <t>Government direct labor build-up vs annual workforce cost.</t>
  </si>
  <si>
    <t>Training recurring annual cost.</t>
  </si>
  <si>
    <t>Paid time not worked, turnover, and support labor.</t>
  </si>
  <si>
    <t>Equipment / Uniform</t>
  </si>
  <si>
    <t>Uniform, radios, armor, and other annualized gear.</t>
  </si>
  <si>
    <t>Total Estimate</t>
  </si>
  <si>
    <t>Top-line comparison of estimate frameworks.</t>
  </si>
  <si>
    <t>GASQ Capital Recovery Dashboard</t>
  </si>
  <si>
    <t>Single-page dashboard for Security Cost Rating, Capital Recovery Receipt, Vendor Price Evaluation, and IGCE comparison.</t>
  </si>
  <si>
    <t>KPI</t>
  </si>
  <si>
    <t>Security Cost Rating</t>
  </si>
  <si>
    <t>Actual Rate Position</t>
  </si>
  <si>
    <t>Interpretation</t>
  </si>
  <si>
    <t>Below Floor</t>
  </si>
  <si>
    <t>Unrealistic / high risk</t>
  </si>
  <si>
    <t>Floor to Target</t>
  </si>
  <si>
    <t>Best value</t>
  </si>
  <si>
    <t>Actual Bill Rate / Hr</t>
  </si>
  <si>
    <t>Target to Ceiling</t>
  </si>
  <si>
    <t>Acceptable</t>
  </si>
  <si>
    <t>Annual Government Cost</t>
  </si>
  <si>
    <t>Comparison</t>
  </si>
  <si>
    <t>Above Ceiling</t>
  </si>
  <si>
    <t>Likely overpriced</t>
  </si>
  <si>
    <t>Annual Actual Vendor Cost</t>
  </si>
  <si>
    <t>IGCE Total Estimated Cost</t>
  </si>
  <si>
    <t>Annual Capital Recovered</t>
  </si>
  <si>
    <t>Equipment Annual</t>
  </si>
  <si>
    <t>Hidden Workforce Cost Total</t>
  </si>
  <si>
    <t>GASQ Advanced Analytics Dashboard</t>
  </si>
  <si>
    <t>Floor</t>
  </si>
  <si>
    <t>Workforce Efficiency</t>
  </si>
  <si>
    <t>Hours Worked</t>
  </si>
  <si>
    <t>Paid Not Worked</t>
  </si>
  <si>
    <t>Training Hours</t>
  </si>
  <si>
    <t>Post Cost Distribution</t>
  </si>
  <si>
    <t>Post</t>
  </si>
  <si>
    <t>Labor</t>
  </si>
  <si>
    <t>Capital Recovery Gauge</t>
  </si>
  <si>
    <t>Recovered</t>
  </si>
  <si>
    <t>Remaining</t>
  </si>
  <si>
    <t>GASQ Operations &amp; Contract Support</t>
  </si>
  <si>
    <t>GASQ Should-Cost  TCO &amp; Capital Recovery Engine</t>
  </si>
  <si>
    <t>Uses the GASQ labor-share framework to translate direct labor into government TCO and capital recovery savings.</t>
  </si>
  <si>
    <t>Government TCO Formula Engine</t>
  </si>
  <si>
    <t xml:space="preserve">Blended Direct Labor Wage / Pay Rate </t>
  </si>
  <si>
    <t xml:space="preserve">Full Burdened Hourly Cost </t>
  </si>
  <si>
    <t>Annual Workforce Hours Basis</t>
  </si>
  <si>
    <t>Workforce Total Should-Cost of Ownership per Security Professional</t>
  </si>
  <si>
    <t>Government/Buyer Total Should-Cost of Ownership per Coverage Hour</t>
  </si>
  <si>
    <t xml:space="preserve">Vendor Workforce Should-Cost Rate </t>
  </si>
  <si>
    <t xml:space="preserve">Annual Coverage Hours Required </t>
  </si>
  <si>
    <t>Annual Government Should Cost for Required Coverage</t>
  </si>
  <si>
    <t>Annual Vendor Should-Cost for Required Coverage</t>
  </si>
  <si>
    <t>Workforce-to-Post Metrics</t>
  </si>
  <si>
    <t>Direct Labor to Government TCO Multiplier</t>
  </si>
  <si>
    <t>Direct Labor to Vendor Rate Multiplier</t>
  </si>
  <si>
    <t>This tab uses Total Direct Labor from Direct_Labor!C8, then forces burden to a 70/30 labor-share model.</t>
  </si>
  <si>
    <t>Automatic Burden Allocation (forced to 30% of total cost)</t>
  </si>
  <si>
    <t>Raw Weight</t>
  </si>
  <si>
    <t>Normalized Share</t>
  </si>
  <si>
    <t>Hourly Burden</t>
  </si>
  <si>
    <t>Annual Burden</t>
  </si>
  <si>
    <t>Health &amp; Welfare proxy</t>
  </si>
  <si>
    <t>Insurance / Misc.</t>
  </si>
  <si>
    <t>Total raw weight</t>
  </si>
  <si>
    <t>Total burden dollars to allocate</t>
  </si>
  <si>
    <t>Allocated burden check</t>
  </si>
  <si>
    <t>Difference (should be 0)</t>
  </si>
  <si>
    <t>Important</t>
  </si>
  <si>
    <t>If labor is 70% of total cost, the burden add-on equals 30% of total cost, which is 42.857% of direct labor.</t>
  </si>
  <si>
    <t>GASQ Overhead, G&amp;A, and Profit</t>
  </si>
  <si>
    <t>GASQ Buyer vs Vendor Price Comparison</t>
  </si>
  <si>
    <t>Core Pricing Comparison</t>
  </si>
  <si>
    <t>-</t>
  </si>
  <si>
    <t>Capital Recovery Highlight</t>
  </si>
  <si>
    <t>Comparison Point</t>
  </si>
  <si>
    <t>Formula Output</t>
  </si>
  <si>
    <t>Buyer Government TCO Rate</t>
  </si>
  <si>
    <t>Capital Recovery Savings %</t>
  </si>
  <si>
    <t>Buyer-to-Vendor Cost Comparison</t>
  </si>
  <si>
    <t>This worksheet provides a side-by-side price comparison between the buyer's government-style TCO and vendor pricing, including capital recovery saved.</t>
  </si>
  <si>
    <t>GASQ Workforce-to-Post™ Calculator</t>
  </si>
  <si>
    <t>Calculates productive coverage, workforce basis, unavailable hours, and relief factor from the active post roster.</t>
  </si>
  <si>
    <t>Weekly Coverage Hours</t>
  </si>
  <si>
    <t>Coverage hours entered by roster or scope.</t>
  </si>
  <si>
    <t>Standard Paid Hours per FTE</t>
  </si>
  <si>
    <t>Coverage hours multiplied by 52 weeks.</t>
  </si>
  <si>
    <t>Relief Factor (Workforce Basis ÷ Productive Basis)</t>
  </si>
  <si>
    <t>Paid hours per FTE basis used by vendor model.</t>
  </si>
  <si>
    <t>Productive FTEs Required</t>
  </si>
  <si>
    <t>Shows productivity loss between coverage and workforce basis.</t>
  </si>
  <si>
    <t>Paid Workforce FTEs Required</t>
  </si>
  <si>
    <t>Bare-minimum productive staffing requirement.</t>
  </si>
  <si>
    <t>Paid headcount needed to support relief.</t>
  </si>
  <si>
    <t>Unavailable Hours per FTE</t>
  </si>
  <si>
    <t>Government-style workforce basis used in model.</t>
  </si>
  <si>
    <t>Unavailable Hours Workforce Cost Basis</t>
  </si>
  <si>
    <t>Hours paid but not worked per FTE.</t>
  </si>
  <si>
    <t>Total unavailable paid hours across the workforce.</t>
  </si>
  <si>
    <t>Unavailable Hours Workforce Cost</t>
  </si>
  <si>
    <t>Active weighted pay rate from roster.</t>
  </si>
  <si>
    <t>Training Cost Annual</t>
  </si>
  <si>
    <t>Dollar cost of unavailable paid hours.</t>
  </si>
  <si>
    <t>Total Hidden Workforce Cost</t>
  </si>
  <si>
    <t>Executive contract summary v2 with direct source links for input-driven fields</t>
  </si>
  <si>
    <t>GASQ Posts / Positions / Locations</t>
  </si>
  <si>
    <t>Controls</t>
  </si>
  <si>
    <t>Use AUTO mode to activate model-driven billing rates or MANUAL mode to type your own rate. AUTO logic: Auto Bill Rate = (Pay Wage ÷ labor share) × (workforce hours basis ÷ productive coverage hours); Final Bill Rate = Auto Bill Rate × labor share. This section is built as an Excel table so rows can be inserted or removed without breaking formulas. See the integrated Scope of Work block at the lower right of this tab.</t>
  </si>
  <si>
    <t>Std Hrs / FTE</t>
  </si>
  <si>
    <t>OT Premium (x)</t>
  </si>
  <si>
    <t>Edit highlighted roster cells only</t>
  </si>
  <si>
    <t>Summary</t>
  </si>
  <si>
    <t>AUTO uses Inputs!B4</t>
  </si>
  <si>
    <t>MANUAL uses col V</t>
  </si>
  <si>
    <t>Wage Input</t>
  </si>
  <si>
    <t>Control</t>
  </si>
  <si>
    <t>Position</t>
  </si>
  <si>
    <t>Location</t>
  </si>
  <si>
    <t>Pay Wage
($/hr)</t>
  </si>
  <si>
    <t>Rate Mode</t>
  </si>
  <si>
    <t>Absorbed Bill
Rate ($/hr)</t>
  </si>
  <si>
    <t>Should Cost Internal Bill
Rate ($/hr)</t>
  </si>
  <si>
    <t>Vendor TCO Bill
Rate ($/hr)</t>
  </si>
  <si>
    <t>Unbilled OT
(% Hrs)</t>
  </si>
  <si>
    <t>Billed OT
(% Hrs)</t>
  </si>
  <si>
    <t>Training
Hrs</t>
  </si>
  <si>
    <t>Training Wage
($/hr)</t>
  </si>
  <si>
    <t>Weekly Pay Cost</t>
  </si>
  <si>
    <t>Weekly Billing</t>
  </si>
  <si>
    <t>Weekly Margin</t>
  </si>
  <si>
    <t>Headcount</t>
  </si>
  <si>
    <t>Manual Pay Wage
($/hr)</t>
  </si>
  <si>
    <t>Wage Mode</t>
  </si>
  <si>
    <t>AUTO</t>
  </si>
  <si>
    <t>MANUAL</t>
  </si>
  <si>
    <t>AUTO rate = ((Pay Wage × (1 + Inputs!B44 locality pay + Inputs!B45 labor market adjustment)) ÷ Inputs!B42 labor share) × (Inputs!B43 workforce hours basis ÷ Inputs!B6 productive coverage hours). Final Bill Rate switches automatically based on Rate Mode.</t>
  </si>
  <si>
    <t>7</t>
  </si>
  <si>
    <t>8</t>
  </si>
  <si>
    <t>Blended Direct Wage</t>
  </si>
  <si>
    <t>9</t>
  </si>
  <si>
    <t>Blended Bill Rate</t>
  </si>
  <si>
    <t>10</t>
  </si>
  <si>
    <t>Annual Billings</t>
  </si>
  <si>
    <t>11</t>
  </si>
  <si>
    <t>Annual Pay Cost</t>
  </si>
  <si>
    <t>12</t>
  </si>
  <si>
    <t>Annual Training Cost</t>
  </si>
  <si>
    <t>13</t>
  </si>
  <si>
    <t>Annual Margin</t>
  </si>
  <si>
    <t>14</t>
  </si>
  <si>
    <t>Actual vs Target Rate</t>
  </si>
  <si>
    <t>15</t>
  </si>
  <si>
    <t>Totals</t>
  </si>
  <si>
    <t>Weekly Labor Hours</t>
  </si>
  <si>
    <t>GASQ Scope of Work (Integrated with Post / Positions)</t>
  </si>
  <si>
    <t>Edit scope inputs here; staffing metrics update automatically and remain mirrored on the Scope_of_Work tab.</t>
  </si>
  <si>
    <t>User Inputs</t>
  </si>
  <si>
    <t>Hours of Coverage per Day</t>
  </si>
  <si>
    <t>Days of Coverage per Week</t>
  </si>
  <si>
    <t>Staff per 8-Hour Shift</t>
  </si>
  <si>
    <t>Calculated Staffing Metrics</t>
  </si>
  <si>
    <t>8-Hour Shifts per Day</t>
  </si>
  <si>
    <t>Daily Labor Hours</t>
  </si>
  <si>
    <t>FTEs Required @ Paid Hours Basis</t>
  </si>
  <si>
    <t>Coverage-to-FTE Ratio</t>
  </si>
  <si>
    <t>Service Requster TCO / Hr</t>
  </si>
  <si>
    <t>Service Requester TCO / Hr</t>
  </si>
  <si>
    <t>Annual Service Requester TCO</t>
  </si>
  <si>
    <t>Annual Service Requester Savings ($/Year)</t>
  </si>
  <si>
    <t>Vendor BAFO / Hr</t>
  </si>
  <si>
    <t xml:space="preserve">VENDOR TCO TO OUTSOURCE
</t>
  </si>
  <si>
    <t>Government /Service Requestor TCO per  Hour</t>
  </si>
  <si>
    <t>Government/Service Requester  Should Cost per Security Professional Coverage Hour</t>
  </si>
  <si>
    <t>Vendor LPTA/BAFO  Rate</t>
  </si>
  <si>
    <t>Vendor LATP/BAFO Rate</t>
  </si>
  <si>
    <t>Vendor BAFO/LPTA Target</t>
  </si>
  <si>
    <t>SERVICE REQUESTER INTERNAL TCO</t>
  </si>
  <si>
    <t>Profit / Fee % (5% - 8%)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</si>
</sst>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164" formatCode="\$#,##0.00"/>
    <numFmt numFmtId="165" formatCode="\$#,##0"/>
    <numFmt numFmtId="166" formatCode="\$#,##0.00;[Red]&quot;($&quot;#,##0.00\);\-"/>
    <numFmt numFmtId="167" formatCode="\$#,##0;[Red]&quot;($&quot;#,##0\);\-"/>
    <numFmt numFmtId="168" formatCode="0.0%"/>
    <numFmt numFmtId="169" formatCode="0.0"/>
    <numFmt numFmtId="170" formatCode="\$#,##0.00_);[Red]&quot;($&quot;#,##0.00\);\-"/>
    <numFmt numFmtId="171" formatCode="0.0\x"/>
    <numFmt numFmtId="172" formatCode="#,##0;[Red]\(#,##0\);\-"/>
    <numFmt numFmtId="173" formatCode="\$#,##0.00_);[Red]&quot;($&quot;#,##0.00\)"/>
    <numFmt numFmtId="174" formatCode="\$#,##0_);[Red]&quot;($&quot;#,##0\)"/>
    <numFmt numFmtId="175" formatCode="0.0%;[Red]\(0.0%\);\-"/>
    <numFmt numFmtId="176" formatCode="0.0;[Red]\(0.0\);\-"/>
    <numFmt numFmtId="177" formatCode="0%;[Red]\(0%\);\-"/>
    <numFmt numFmtId="178" formatCode="0&quot; months&quot;"/>
    <numFmt numFmtId="179" formatCode="0.0\x;[Red]\(0.0&quot;x)&quot;;\-"/>
    <numFmt numFmtId="180" formatCode="0.00\x;[Red]\(0.00&quot;x)&quot;;\-"/>
    <numFmt numFmtId="181" formatCode="#,##0.00;[Red]\(#,##0.00\);\-"/>
    <numFmt numFmtId="182" formatCode="_(* #,##0.00_);_(* \(#,##0.00\);_(* \-??_);_(@_)"/>
    <numFmt numFmtId="183" formatCode="#,##0.0;[Red]\(#,##0.0\);\-"/>
    <numFmt numFmtId="184" formatCode="#,##0.0_);[Red]\(#,##0.0\);\-"/>
    <numFmt numFmtId="187" formatCode="&quot;$&quot;#,##0.00"/>
  </numFmts>
  <fonts count="65" x14ac:knownFonts="1">
    <font>
      <sz val="10"/>
      <name val="Arial"/>
      <family val="2"/>
      <charset val="1"/>
    </font>
    <font>
      <sz val="10"/>
      <name val="Arial"/>
      <family val="2"/>
    </font>
    <font>
      <u/>
      <sz val="10"/>
      <name val="Arial"/>
      <family val="2"/>
      <charset val="1"/>
    </font>
    <font>
      <b/>
      <sz val="18"/>
      <color rgb="FFFFFFFF"/>
      <name val="Cambria"/>
      <family val="1"/>
      <charset val="1"/>
    </font>
    <font>
      <b/>
      <sz val="11"/>
      <color rgb="FF800020"/>
      <name val="Cambria"/>
      <family val="1"/>
      <charset val="1"/>
    </font>
    <font>
      <b/>
      <u/>
      <sz val="11"/>
      <color rgb="FF800020"/>
      <name val="Cambria"/>
      <family val="1"/>
      <charset val="1"/>
    </font>
    <font>
      <b/>
      <sz val="11"/>
      <color rgb="FF000000"/>
      <name val="Cambria"/>
      <family val="1"/>
      <charset val="1"/>
    </font>
    <font>
      <b/>
      <sz val="11"/>
      <name val="Cambria"/>
      <family val="1"/>
      <charset val="1"/>
    </font>
    <font>
      <i/>
      <sz val="10"/>
      <color rgb="FF800020"/>
      <name val="Cambria"/>
      <family val="1"/>
      <charset val="1"/>
    </font>
    <font>
      <b/>
      <sz val="11"/>
      <color rgb="FF800020"/>
      <name val="Arial"/>
      <family val="2"/>
      <charset val="1"/>
    </font>
    <font>
      <b/>
      <sz val="14"/>
      <color rgb="FF800020"/>
      <name val="Arial"/>
      <family val="2"/>
      <charset val="1"/>
    </font>
    <font>
      <b/>
      <u/>
      <sz val="16"/>
      <color rgb="FFFFFFFF"/>
      <name val="Arial"/>
      <family val="2"/>
      <charset val="1"/>
    </font>
    <font>
      <b/>
      <sz val="12"/>
      <color rgb="FF800020"/>
      <name val="Arial"/>
      <family val="2"/>
      <charset val="1"/>
    </font>
    <font>
      <b/>
      <sz val="12"/>
      <color rgb="FF000000"/>
      <name val="Arial"/>
      <family val="2"/>
      <charset val="1"/>
    </font>
    <font>
      <b/>
      <sz val="16"/>
      <color rgb="FFFFFFFF"/>
      <name val="Arial"/>
      <family val="2"/>
      <charset val="1"/>
    </font>
    <font>
      <i/>
      <sz val="11"/>
      <color rgb="FF000000"/>
      <name val="Arial"/>
      <family val="2"/>
      <charset val="1"/>
    </font>
    <font>
      <b/>
      <u/>
      <sz val="11"/>
      <color rgb="FFFFFFFF"/>
      <name val="Arial"/>
      <family val="2"/>
      <charset val="1"/>
    </font>
    <font>
      <b/>
      <sz val="12"/>
      <color rgb="FFFFFFFF"/>
      <name val="Arial"/>
      <family val="2"/>
      <charset val="1"/>
    </font>
    <font>
      <b/>
      <sz val="10"/>
      <color rgb="FF800020"/>
      <name val="Arial"/>
      <family val="2"/>
      <charset val="1"/>
    </font>
    <font>
      <b/>
      <sz val="11"/>
      <color rgb="FF000000"/>
      <name val="Arial"/>
      <family val="2"/>
      <charset val="1"/>
    </font>
    <font>
      <sz val="10"/>
      <color rgb="FF000000"/>
      <name val="Arial"/>
      <family val="2"/>
      <charset val="1"/>
    </font>
    <font>
      <b/>
      <sz val="10"/>
      <color rgb="FF000000"/>
      <name val="Arial"/>
      <family val="2"/>
      <charset val="1"/>
    </font>
    <font>
      <i/>
      <sz val="10"/>
      <color rgb="FF555555"/>
      <name val="Arial"/>
      <family val="2"/>
      <charset val="1"/>
    </font>
    <font>
      <b/>
      <sz val="14"/>
      <color rgb="FFFFFFFF"/>
      <name val="Arial"/>
      <family val="2"/>
      <charset val="1"/>
    </font>
    <font>
      <i/>
      <sz val="10"/>
      <color rgb="FF000000"/>
      <name val="Arial"/>
      <family val="2"/>
      <charset val="1"/>
    </font>
    <font>
      <b/>
      <sz val="11"/>
      <color rgb="FFFFFFFF"/>
      <name val="Arial"/>
      <family val="2"/>
      <charset val="1"/>
    </font>
    <font>
      <sz val="10"/>
      <color rgb="FF000000"/>
      <name val="Consolas"/>
      <family val="3"/>
      <charset val="1"/>
    </font>
    <font>
      <sz val="11"/>
      <color theme="1"/>
      <name val="Calibri"/>
      <family val="2"/>
      <charset val="1"/>
    </font>
    <font>
      <b/>
      <sz val="14"/>
      <color rgb="FFFFFFFF"/>
      <name val="Aptos"/>
      <family val="2"/>
      <charset val="1"/>
    </font>
    <font>
      <sz val="10"/>
      <color rgb="FF800020"/>
      <name val="Aptos"/>
      <family val="2"/>
      <charset val="1"/>
    </font>
    <font>
      <b/>
      <sz val="11"/>
      <color rgb="FF800020"/>
      <name val="Aptos"/>
      <family val="2"/>
      <charset val="1"/>
    </font>
    <font>
      <sz val="10"/>
      <color rgb="FF000000"/>
      <name val="Aptos"/>
      <family val="2"/>
      <charset val="1"/>
    </font>
    <font>
      <b/>
      <sz val="11"/>
      <color rgb="FF000000"/>
      <name val="Calibri"/>
      <family val="2"/>
      <charset val="1"/>
    </font>
    <font>
      <b/>
      <sz val="10"/>
      <color rgb="FFFF0000"/>
      <name val="Aptos"/>
      <family val="2"/>
      <charset val="1"/>
    </font>
    <font>
      <b/>
      <sz val="10"/>
      <color rgb="FF800020"/>
      <name val="Aptos"/>
      <family val="2"/>
      <charset val="1"/>
    </font>
    <font>
      <b/>
      <sz val="10"/>
      <color rgb="FF000000"/>
      <name val="Aptos"/>
      <family val="2"/>
      <charset val="1"/>
    </font>
    <font>
      <b/>
      <sz val="10"/>
      <color rgb="FFFFFFFF"/>
      <name val="Calibri"/>
      <family val="2"/>
      <charset val="1"/>
    </font>
    <font>
      <sz val="10"/>
      <color rgb="FF000000"/>
      <name val="Calibri"/>
      <family val="2"/>
      <charset val="1"/>
    </font>
    <font>
      <b/>
      <sz val="10"/>
      <color rgb="FF000000"/>
      <name val="Calibri"/>
      <family val="2"/>
      <charset val="1"/>
    </font>
    <font>
      <i/>
      <sz val="10"/>
      <color rgb="FF000000"/>
      <name val="Calibri"/>
      <family val="2"/>
      <charset val="1"/>
    </font>
    <font>
      <b/>
      <sz val="10"/>
      <color rgb="FF800020"/>
      <name val="Calibri"/>
      <family val="2"/>
      <charset val="1"/>
    </font>
    <font>
      <sz val="9"/>
      <color rgb="FF000000"/>
      <name val="Aptos"/>
      <family val="2"/>
      <charset val="1"/>
    </font>
    <font>
      <b/>
      <sz val="11"/>
      <color theme="1"/>
      <name val="Calibri"/>
      <family val="2"/>
      <charset val="1"/>
    </font>
    <font>
      <sz val="11"/>
      <color rgb="FF000000"/>
      <name val="Calibri"/>
      <family val="2"/>
      <charset val="1"/>
    </font>
    <font>
      <b/>
      <sz val="10"/>
      <name val="Arial"/>
      <family val="2"/>
      <charset val="1"/>
    </font>
    <font>
      <b/>
      <sz val="16"/>
      <color theme="0"/>
      <name val="Aptos"/>
      <family val="2"/>
      <charset val="1"/>
    </font>
    <font>
      <b/>
      <i/>
      <sz val="12"/>
      <color theme="0"/>
      <name val="Aptos"/>
      <family val="2"/>
      <charset val="1"/>
    </font>
    <font>
      <b/>
      <i/>
      <sz val="11"/>
      <color rgb="FF000000"/>
      <name val="Aptos"/>
      <family val="2"/>
      <charset val="1"/>
    </font>
    <font>
      <b/>
      <sz val="11"/>
      <color rgb="FFFFFFFF"/>
      <name val="Aptos"/>
      <family val="2"/>
      <charset val="1"/>
    </font>
    <font>
      <b/>
      <sz val="11"/>
      <color rgb="FF000000"/>
      <name val="Aptos"/>
      <family val="2"/>
      <charset val="1"/>
    </font>
    <font>
      <b/>
      <sz val="14"/>
      <color rgb="FFFFFFFF"/>
      <name val="Cambria"/>
      <family val="1"/>
      <charset val="1"/>
    </font>
    <font>
      <b/>
      <sz val="10"/>
      <color rgb="FFFFFFFF"/>
      <name val="Arial"/>
      <family val="2"/>
      <charset val="1"/>
    </font>
    <font>
      <b/>
      <sz val="11"/>
      <color rgb="FFFFFFFF"/>
      <name val="Cambria"/>
      <family val="1"/>
      <charset val="1"/>
    </font>
    <font>
      <b/>
      <sz val="16"/>
      <color rgb="FF000000"/>
      <name val="Aptos"/>
      <family val="2"/>
      <charset val="1"/>
    </font>
    <font>
      <b/>
      <i/>
      <sz val="12"/>
      <color rgb="FF000000"/>
      <name val="Aptos"/>
      <family val="2"/>
      <charset val="1"/>
    </font>
    <font>
      <b/>
      <sz val="15"/>
      <color rgb="FFFF0000"/>
      <name val="Aptos"/>
      <family val="2"/>
      <charset val="1"/>
    </font>
    <font>
      <b/>
      <i/>
      <sz val="11"/>
      <name val="Aptos"/>
      <family val="2"/>
      <charset val="1"/>
    </font>
    <font>
      <b/>
      <sz val="11"/>
      <name val="Aptos"/>
      <family val="2"/>
      <charset val="1"/>
    </font>
    <font>
      <i/>
      <sz val="9"/>
      <color rgb="FF666666"/>
      <name val="Aptos"/>
      <family val="2"/>
      <charset val="1"/>
    </font>
    <font>
      <i/>
      <sz val="10"/>
      <color rgb="FF666666"/>
      <name val="Arial"/>
      <family val="2"/>
      <charset val="1"/>
    </font>
    <font>
      <b/>
      <sz val="16"/>
      <name val="Arial"/>
      <family val="2"/>
      <charset val="1"/>
    </font>
    <font>
      <b/>
      <sz val="9"/>
      <color rgb="FF000000"/>
      <name val="Aptos"/>
      <family val="2"/>
      <charset val="1"/>
    </font>
    <font>
      <sz val="10"/>
      <color rgb="FF800020"/>
      <name val="Arial"/>
      <family val="2"/>
      <charset val="1"/>
    </font>
    <font>
      <i/>
      <sz val="9"/>
      <color rgb="FF800020"/>
      <name val="Arial"/>
      <family val="2"/>
      <charset val="1"/>
    </font>
    <font>
      <sz val="11"/>
      <name val="Cambria"/>
      <family val="1"/>
      <charset val="1"/>
    </font>
  </fonts>
  <fills count="19">
    <fill>
      <patternFill patternType="none"/>
    </fill>
    <fill>
      <patternFill patternType="gray125"/>
    </fill>
    <fill>
      <patternFill patternType="solid">
        <fgColor rgb="FF800020"/>
        <bgColor rgb="FF5C0018"/>
      </patternFill>
    </fill>
    <fill>
      <patternFill patternType="solid">
        <fgColor rgb="FFD9D9D9"/>
        <bgColor rgb="FFD9E2EB"/>
      </patternFill>
    </fill>
    <fill>
      <patternFill patternType="solid">
        <fgColor rgb="FFF3F5F7"/>
        <bgColor rgb="FFF2F2F2"/>
      </patternFill>
    </fill>
    <fill>
      <patternFill patternType="solid">
        <fgColor rgb="FF333333"/>
        <bgColor rgb="FF12324A"/>
      </patternFill>
    </fill>
    <fill>
      <patternFill patternType="solid">
        <fgColor rgb="FFF2F2F2"/>
        <bgColor rgb="FFF3F5F7"/>
      </patternFill>
    </fill>
    <fill>
      <patternFill patternType="solid">
        <fgColor rgb="FFFFFFFF"/>
        <bgColor rgb="FFF3F5F7"/>
      </patternFill>
    </fill>
    <fill>
      <patternFill patternType="solid">
        <fgColor rgb="FFEDEDED"/>
        <bgColor rgb="FFF2F2F2"/>
      </patternFill>
    </fill>
    <fill>
      <patternFill patternType="solid">
        <fgColor theme="9" tint="0.79979857783745845"/>
        <bgColor rgb="FFFDE9E7"/>
      </patternFill>
    </fill>
    <fill>
      <patternFill patternType="solid">
        <fgColor rgb="FFFFFF00"/>
        <bgColor rgb="FFFAC090"/>
      </patternFill>
    </fill>
    <fill>
      <patternFill patternType="solid">
        <fgColor theme="3" tint="0.79979857783745845"/>
        <bgColor rgb="FFB7DEE8"/>
      </patternFill>
    </fill>
    <fill>
      <patternFill patternType="solid">
        <fgColor rgb="FF5C0018"/>
        <bgColor rgb="FF800020"/>
      </patternFill>
    </fill>
    <fill>
      <patternFill patternType="solid">
        <fgColor theme="4" tint="0.79979857783745845"/>
        <bgColor rgb="FFD9E1F2"/>
      </patternFill>
    </fill>
    <fill>
      <patternFill patternType="solid">
        <fgColor rgb="FF111111"/>
        <bgColor rgb="FF000000"/>
      </patternFill>
    </fill>
    <fill>
      <patternFill patternType="solid">
        <fgColor theme="1"/>
        <bgColor rgb="FF111111"/>
      </patternFill>
    </fill>
    <fill>
      <patternFill patternType="solid">
        <fgColor rgb="FFD0CECE"/>
        <bgColor rgb="FFD9D9D9"/>
      </patternFill>
    </fill>
    <fill>
      <patternFill patternType="solid">
        <fgColor rgb="FFDDEBF7"/>
        <bgColor rgb="FFDCE6F2"/>
      </patternFill>
    </fill>
    <fill>
      <patternFill patternType="solid">
        <fgColor rgb="FFF8F1D1"/>
        <bgColor rgb="FFFDEADA"/>
      </patternFill>
    </fill>
  </fills>
  <borders count="27">
    <border>
      <left/>
      <right/>
      <top/>
      <bottom/>
      <diagonal/>
    </border>
    <border>
      <left style="thin">
        <color auto="1"/>
      </left>
      <right style="thin">
        <color auto="1"/>
      </right>
      <top style="thin">
        <color auto="1"/>
      </top>
      <bottom style="thin">
        <color auto="1"/>
      </bottom>
      <diagonal/>
    </border>
    <border>
      <left/>
      <right style="medium">
        <color rgb="FF800020"/>
      </right>
      <top/>
      <bottom style="medium">
        <color rgb="FF800020"/>
      </bottom>
      <diagonal/>
    </border>
    <border>
      <left style="thin">
        <color rgb="FFB7B7B7"/>
      </left>
      <right style="thin">
        <color rgb="FFB7B7B7"/>
      </right>
      <top style="thin">
        <color rgb="FFB7B7B7"/>
      </top>
      <bottom style="thin">
        <color rgb="FFB7B7B7"/>
      </bottom>
      <diagonal/>
    </border>
    <border>
      <left style="thin">
        <color rgb="FF808080"/>
      </left>
      <right style="thin">
        <color rgb="FF808080"/>
      </right>
      <top style="thin">
        <color rgb="FF808080"/>
      </top>
      <bottom style="thin">
        <color rgb="FF808080"/>
      </bottom>
      <diagonal/>
    </border>
    <border>
      <left/>
      <right/>
      <top/>
      <bottom style="thin">
        <color rgb="FFB7B7B7"/>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medium">
        <color rgb="FF173F6D"/>
      </top>
      <bottom style="medium">
        <color rgb="FF173F6D"/>
      </bottom>
      <diagonal/>
    </border>
    <border>
      <left/>
      <right/>
      <top style="medium">
        <color rgb="FF173F6D"/>
      </top>
      <bottom/>
      <diagonal/>
    </border>
    <border>
      <left style="medium">
        <color rgb="FF12324A"/>
      </left>
      <right style="medium">
        <color rgb="FF12324A"/>
      </right>
      <top style="medium">
        <color rgb="FF12324A"/>
      </top>
      <bottom/>
      <diagonal/>
    </border>
    <border>
      <left style="medium">
        <color rgb="FF12324A"/>
      </left>
      <right style="medium">
        <color rgb="FF12324A"/>
      </right>
      <top style="medium">
        <color rgb="FF12324A"/>
      </top>
      <bottom style="medium">
        <color rgb="FF12324A"/>
      </bottom>
      <diagonal/>
    </border>
    <border>
      <left/>
      <right/>
      <top/>
      <bottom style="thin">
        <color rgb="FFD9E2EB"/>
      </bottom>
      <diagonal/>
    </border>
    <border>
      <left style="medium">
        <color rgb="FFD4A017"/>
      </left>
      <right style="medium">
        <color rgb="FFD4A017"/>
      </right>
      <top style="thin">
        <color rgb="FFD9E2EB"/>
      </top>
      <bottom style="medium">
        <color rgb="FFD4A017"/>
      </bottom>
      <diagonal/>
    </border>
    <border>
      <left/>
      <right/>
      <top style="medium">
        <color rgb="FF12324A"/>
      </top>
      <bottom style="medium">
        <color rgb="FF12324A"/>
      </bottom>
      <diagonal/>
    </border>
    <border>
      <left/>
      <right/>
      <top style="medium">
        <color rgb="FF173F6D"/>
      </top>
      <bottom style="thin">
        <color rgb="FFB7B7B7"/>
      </bottom>
      <diagonal/>
    </border>
    <border>
      <left style="thin">
        <color auto="1"/>
      </left>
      <right style="thin">
        <color auto="1"/>
      </right>
      <top style="thin">
        <color auto="1"/>
      </top>
      <bottom style="thin">
        <color rgb="FF898989"/>
      </bottom>
      <diagonal/>
    </border>
    <border>
      <left style="thin">
        <color auto="1"/>
      </left>
      <right style="thin">
        <color auto="1"/>
      </right>
      <top style="thin">
        <color auto="1"/>
      </top>
      <bottom/>
      <diagonal/>
    </border>
    <border>
      <left style="thin">
        <color rgb="FFA6A6A6"/>
      </left>
      <right style="thin">
        <color rgb="FFA6A6A6"/>
      </right>
      <top style="thin">
        <color rgb="FFA6A6A6"/>
      </top>
      <bottom style="thin">
        <color rgb="FFA6A6A6"/>
      </bottom>
      <diagonal/>
    </border>
    <border>
      <left style="thin">
        <color rgb="FF898989"/>
      </left>
      <right style="thin">
        <color rgb="FF898989"/>
      </right>
      <top style="thin">
        <color rgb="FF898989"/>
      </top>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top style="thin">
        <color auto="1"/>
      </top>
      <bottom/>
      <diagonal/>
    </border>
    <border>
      <left/>
      <right/>
      <top style="medium">
        <color auto="1"/>
      </top>
      <bottom style="medium">
        <color auto="1"/>
      </bottom>
      <diagonal/>
    </border>
  </borders>
  <cellStyleXfs count="2">
    <xf numFmtId="0" fontId="0" fillId="0" borderId="0"/>
    <xf numFmtId="0" fontId="2" fillId="0" borderId="0">
      <alignment vertical="top"/>
    </xf>
  </cellStyleXfs>
  <cellXfs count="426">
    <xf numFmtId="0" fontId="0" fillId="0" borderId="0" xfId="0"/>
    <xf numFmtId="0" fontId="13" fillId="3" borderId="3" xfId="0" applyFont="1" applyFill="1" applyBorder="1" applyAlignment="1">
      <alignment horizontal="center" vertical="center" wrapText="1"/>
    </xf>
    <xf numFmtId="0" fontId="11" fillId="0" borderId="2" xfId="0" applyFont="1" applyBorder="1"/>
    <xf numFmtId="0" fontId="4" fillId="3" borderId="0" xfId="0" applyFont="1" applyFill="1" applyAlignment="1">
      <alignment horizontal="center"/>
    </xf>
    <xf numFmtId="0" fontId="3" fillId="2" borderId="0" xfId="0" applyFont="1" applyFill="1" applyAlignment="1">
      <alignment horizontal="center" vertical="center"/>
    </xf>
    <xf numFmtId="0" fontId="22" fillId="0" borderId="0" xfId="0" applyFont="1" applyAlignment="1">
      <alignment horizontal="left"/>
    </xf>
    <xf numFmtId="0" fontId="20" fillId="7" borderId="4" xfId="0" applyFont="1" applyFill="1" applyBorder="1" applyAlignment="1">
      <alignment horizontal="left" vertical="center" wrapText="1"/>
    </xf>
    <xf numFmtId="0" fontId="20" fillId="8" borderId="4" xfId="0" applyFont="1" applyFill="1" applyBorder="1" applyAlignment="1">
      <alignment horizontal="left" vertical="center" wrapText="1"/>
    </xf>
    <xf numFmtId="0" fontId="17" fillId="5" borderId="0" xfId="0" applyFont="1" applyFill="1" applyAlignment="1">
      <alignment horizontal="left" vertical="center"/>
    </xf>
    <xf numFmtId="0" fontId="17" fillId="5" borderId="0" xfId="0" applyFont="1" applyFill="1" applyAlignment="1">
      <alignment horizontal="center" vertical="center" wrapText="1"/>
    </xf>
    <xf numFmtId="0" fontId="16" fillId="0" borderId="2" xfId="0" applyFont="1" applyBorder="1"/>
    <xf numFmtId="0" fontId="15" fillId="3" borderId="0" xfId="0" applyFont="1" applyFill="1" applyAlignment="1">
      <alignment horizontal="center" vertical="center" wrapText="1"/>
    </xf>
    <xf numFmtId="0" fontId="14" fillId="2" borderId="0" xfId="0" applyFont="1" applyFill="1" applyAlignment="1">
      <alignment horizontal="center" vertical="center" wrapText="1"/>
    </xf>
    <xf numFmtId="0" fontId="4" fillId="3" borderId="0" xfId="0" applyFont="1" applyFill="1" applyAlignment="1">
      <alignment horizontal="center"/>
    </xf>
    <xf numFmtId="0" fontId="4" fillId="4" borderId="1" xfId="0" applyFont="1" applyFill="1" applyBorder="1" applyAlignment="1">
      <alignment vertical="center"/>
    </xf>
    <xf numFmtId="0" fontId="4" fillId="0" borderId="1" xfId="0" applyFont="1" applyBorder="1" applyAlignment="1">
      <alignment vertical="center"/>
    </xf>
    <xf numFmtId="0" fontId="5" fillId="0" borderId="1" xfId="0" applyFont="1" applyBorder="1" applyAlignment="1">
      <alignment vertical="center"/>
    </xf>
    <xf numFmtId="0" fontId="6" fillId="3" borderId="1" xfId="0" applyFont="1" applyFill="1" applyBorder="1" applyAlignment="1">
      <alignment vertical="center"/>
    </xf>
    <xf numFmtId="0" fontId="7" fillId="0" borderId="1" xfId="0" applyFont="1" applyBorder="1" applyAlignment="1">
      <alignment vertical="center"/>
    </xf>
    <xf numFmtId="3" fontId="4" fillId="3" borderId="1" xfId="0" applyNumberFormat="1" applyFont="1" applyFill="1" applyBorder="1" applyAlignment="1">
      <alignment vertical="center"/>
    </xf>
    <xf numFmtId="0" fontId="6" fillId="4" borderId="1" xfId="0" applyFont="1" applyFill="1" applyBorder="1" applyAlignment="1">
      <alignment vertical="center"/>
    </xf>
    <xf numFmtId="164" fontId="4" fillId="3" borderId="1" xfId="0" applyNumberFormat="1" applyFont="1" applyFill="1" applyBorder="1" applyAlignment="1">
      <alignment vertical="center"/>
    </xf>
    <xf numFmtId="165" fontId="4" fillId="3" borderId="1" xfId="0" applyNumberFormat="1" applyFont="1" applyFill="1" applyBorder="1" applyAlignment="1">
      <alignment vertical="center"/>
    </xf>
    <xf numFmtId="0" fontId="8" fillId="0" borderId="1" xfId="0" applyFont="1" applyBorder="1" applyAlignment="1">
      <alignment wrapText="1"/>
    </xf>
    <xf numFmtId="0" fontId="9" fillId="0" borderId="0" xfId="0" applyFont="1"/>
    <xf numFmtId="0" fontId="10" fillId="0" borderId="0" xfId="0" applyFont="1"/>
    <xf numFmtId="0" fontId="12" fillId="0" borderId="0" xfId="0" applyFont="1"/>
    <xf numFmtId="0" fontId="8" fillId="0" borderId="0" xfId="0" applyFont="1" applyAlignment="1">
      <alignment wrapText="1"/>
    </xf>
    <xf numFmtId="0" fontId="17" fillId="5" borderId="0" xfId="0" applyFont="1" applyFill="1" applyAlignment="1">
      <alignment horizontal="center" vertical="center" wrapText="1"/>
    </xf>
    <xf numFmtId="0" fontId="18" fillId="6" borderId="4" xfId="0" applyFont="1" applyFill="1" applyBorder="1" applyAlignment="1">
      <alignment horizontal="left" vertical="center" wrapText="1"/>
    </xf>
    <xf numFmtId="0" fontId="18" fillId="6" borderId="5" xfId="0" applyFont="1" applyFill="1" applyBorder="1" applyAlignment="1">
      <alignment horizontal="left" vertical="center" wrapText="1"/>
    </xf>
    <xf numFmtId="0" fontId="18" fillId="6" borderId="4" xfId="0" applyFont="1" applyFill="1" applyBorder="1" applyAlignment="1">
      <alignment horizontal="center" vertical="center"/>
    </xf>
    <xf numFmtId="167" fontId="20" fillId="7" borderId="5" xfId="0" applyNumberFormat="1" applyFont="1" applyFill="1" applyBorder="1" applyAlignment="1">
      <alignment horizontal="right" vertical="center" wrapText="1"/>
    </xf>
    <xf numFmtId="168" fontId="20" fillId="7" borderId="5" xfId="0" applyNumberFormat="1" applyFont="1" applyFill="1" applyBorder="1" applyAlignment="1">
      <alignment horizontal="right" vertical="center" wrapText="1"/>
    </xf>
    <xf numFmtId="0" fontId="20" fillId="7" borderId="5" xfId="0" applyFont="1" applyFill="1" applyBorder="1" applyAlignment="1">
      <alignment vertical="center" wrapText="1"/>
    </xf>
    <xf numFmtId="0" fontId="0" fillId="0" borderId="5" xfId="0" applyBorder="1"/>
    <xf numFmtId="0" fontId="18" fillId="3" borderId="4" xfId="0" applyFont="1" applyFill="1" applyBorder="1" applyAlignment="1">
      <alignment horizontal="left" vertical="center" wrapText="1"/>
    </xf>
    <xf numFmtId="167" fontId="21" fillId="7" borderId="5" xfId="0" applyNumberFormat="1" applyFont="1" applyFill="1" applyBorder="1" applyAlignment="1">
      <alignment horizontal="right" vertical="center" wrapText="1"/>
    </xf>
    <xf numFmtId="168" fontId="21" fillId="7" borderId="5" xfId="0" applyNumberFormat="1" applyFont="1" applyFill="1" applyBorder="1" applyAlignment="1">
      <alignment horizontal="right" vertical="center" wrapText="1"/>
    </xf>
    <xf numFmtId="0" fontId="21" fillId="7" borderId="5" xfId="0" applyFont="1" applyFill="1" applyBorder="1" applyAlignment="1">
      <alignment vertical="center" wrapText="1"/>
    </xf>
    <xf numFmtId="167" fontId="0" fillId="0" borderId="5" xfId="0" applyNumberFormat="1" applyBorder="1"/>
    <xf numFmtId="168" fontId="0" fillId="0" borderId="5" xfId="0" applyNumberFormat="1" applyBorder="1"/>
    <xf numFmtId="0" fontId="17" fillId="5" borderId="4" xfId="0" applyFont="1" applyFill="1" applyBorder="1" applyAlignment="1">
      <alignment horizontal="center" vertical="center" wrapText="1"/>
    </xf>
    <xf numFmtId="0" fontId="18" fillId="6" borderId="4" xfId="0" applyFont="1" applyFill="1" applyBorder="1" applyAlignment="1">
      <alignment horizontal="left" vertical="center"/>
    </xf>
    <xf numFmtId="1" fontId="20" fillId="7" borderId="5" xfId="0" applyNumberFormat="1" applyFont="1" applyFill="1" applyBorder="1" applyAlignment="1">
      <alignment horizontal="right" vertical="center"/>
    </xf>
    <xf numFmtId="166" fontId="20" fillId="7" borderId="5" xfId="0" applyNumberFormat="1" applyFont="1" applyFill="1" applyBorder="1" applyAlignment="1">
      <alignment horizontal="right" vertical="center"/>
    </xf>
    <xf numFmtId="167" fontId="21" fillId="7" borderId="5" xfId="0" applyNumberFormat="1" applyFont="1" applyFill="1" applyBorder="1" applyAlignment="1">
      <alignment horizontal="right" vertical="center"/>
    </xf>
    <xf numFmtId="167" fontId="20" fillId="7" borderId="5" xfId="0" applyNumberFormat="1" applyFont="1" applyFill="1" applyBorder="1" applyAlignment="1">
      <alignment horizontal="right" vertical="center"/>
    </xf>
    <xf numFmtId="168" fontId="20" fillId="7" borderId="5" xfId="0" applyNumberFormat="1" applyFont="1" applyFill="1" applyBorder="1" applyAlignment="1">
      <alignment horizontal="right" vertical="center"/>
    </xf>
    <xf numFmtId="0" fontId="0" fillId="0" borderId="3" xfId="0" applyBorder="1"/>
    <xf numFmtId="0" fontId="25" fillId="5" borderId="3" xfId="0" applyFont="1" applyFill="1" applyBorder="1" applyAlignment="1">
      <alignment horizontal="center" vertical="center" wrapText="1"/>
    </xf>
    <xf numFmtId="0" fontId="21" fillId="7" borderId="3" xfId="0" applyFont="1" applyFill="1" applyBorder="1" applyAlignment="1">
      <alignment vertical="top" wrapText="1"/>
    </xf>
    <xf numFmtId="0" fontId="20" fillId="7" borderId="3" xfId="0" applyFont="1" applyFill="1" applyBorder="1" applyAlignment="1">
      <alignment vertical="top" wrapText="1"/>
    </xf>
    <xf numFmtId="0" fontId="21" fillId="8" borderId="3" xfId="0" applyFont="1" applyFill="1" applyBorder="1" applyAlignment="1">
      <alignment vertical="top" wrapText="1"/>
    </xf>
    <xf numFmtId="0" fontId="20" fillId="8" borderId="3" xfId="0" applyFont="1" applyFill="1" applyBorder="1" applyAlignment="1">
      <alignment vertical="top" wrapText="1"/>
    </xf>
    <xf numFmtId="0" fontId="0" fillId="0" borderId="3" xfId="0" applyBorder="1" applyAlignment="1">
      <alignment vertical="top" wrapText="1"/>
    </xf>
    <xf numFmtId="0" fontId="26" fillId="6" borderId="3" xfId="0" applyFont="1" applyFill="1" applyBorder="1" applyAlignment="1">
      <alignment wrapText="1"/>
    </xf>
    <xf numFmtId="0" fontId="27" fillId="0" borderId="0" xfId="0" applyFont="1"/>
    <xf numFmtId="0" fontId="30" fillId="3" borderId="0" xfId="0" applyFont="1" applyFill="1" applyAlignment="1">
      <alignment horizontal="left" vertical="center" wrapText="1"/>
    </xf>
    <xf numFmtId="0" fontId="30" fillId="3" borderId="0" xfId="0" applyFont="1" applyFill="1" applyAlignment="1">
      <alignment horizontal="left" vertical="center"/>
    </xf>
    <xf numFmtId="0" fontId="31" fillId="9" borderId="1" xfId="0" applyFont="1" applyFill="1" applyBorder="1" applyAlignment="1">
      <alignment horizontal="left" vertical="center" wrapText="1"/>
    </xf>
    <xf numFmtId="164" fontId="31" fillId="10" borderId="1" xfId="0" applyNumberFormat="1" applyFont="1" applyFill="1" applyBorder="1" applyAlignment="1">
      <alignment horizontal="right" vertical="center"/>
    </xf>
    <xf numFmtId="170" fontId="31" fillId="11" borderId="1" xfId="0" applyNumberFormat="1" applyFont="1" applyFill="1" applyBorder="1" applyAlignment="1">
      <alignment horizontal="right" vertical="center"/>
    </xf>
    <xf numFmtId="0" fontId="31" fillId="0" borderId="1" xfId="0" applyFont="1" applyBorder="1" applyAlignment="1">
      <alignment horizontal="left" vertical="center" wrapText="1"/>
    </xf>
    <xf numFmtId="3" fontId="31" fillId="10" borderId="1" xfId="0" applyNumberFormat="1" applyFont="1" applyFill="1" applyBorder="1" applyAlignment="1">
      <alignment horizontal="right" vertical="center"/>
    </xf>
    <xf numFmtId="3" fontId="31" fillId="11" borderId="1" xfId="0" applyNumberFormat="1" applyFont="1" applyFill="1" applyBorder="1" applyAlignment="1">
      <alignment horizontal="right" vertical="center"/>
    </xf>
    <xf numFmtId="168" fontId="31" fillId="10" borderId="1" xfId="0" applyNumberFormat="1" applyFont="1" applyFill="1" applyBorder="1" applyAlignment="1">
      <alignment horizontal="right" vertical="center"/>
    </xf>
    <xf numFmtId="164" fontId="31" fillId="11" borderId="1" xfId="0" applyNumberFormat="1" applyFont="1" applyFill="1" applyBorder="1" applyAlignment="1">
      <alignment horizontal="right" vertical="center"/>
    </xf>
    <xf numFmtId="9" fontId="31" fillId="10" borderId="1" xfId="0" applyNumberFormat="1" applyFont="1" applyFill="1" applyBorder="1" applyAlignment="1">
      <alignment horizontal="right" vertical="center"/>
    </xf>
    <xf numFmtId="0" fontId="31" fillId="9" borderId="6" xfId="0" applyFont="1" applyFill="1" applyBorder="1" applyAlignment="1">
      <alignment horizontal="left" vertical="center" wrapText="1"/>
    </xf>
    <xf numFmtId="169" fontId="31" fillId="10" borderId="1" xfId="0" applyNumberFormat="1" applyFont="1" applyFill="1" applyBorder="1" applyAlignment="1">
      <alignment horizontal="right" vertical="center"/>
    </xf>
    <xf numFmtId="164" fontId="20" fillId="11" borderId="1" xfId="0" applyNumberFormat="1" applyFont="1" applyFill="1" applyBorder="1"/>
    <xf numFmtId="0" fontId="27" fillId="0" borderId="1" xfId="0" applyFont="1" applyBorder="1"/>
    <xf numFmtId="0" fontId="32" fillId="0" borderId="1" xfId="0" applyFont="1" applyBorder="1" applyAlignment="1">
      <alignment horizontal="center" vertical="center"/>
    </xf>
    <xf numFmtId="0" fontId="27" fillId="0" borderId="0" xfId="0" applyFont="1" applyAlignment="1">
      <alignment horizontal="left" vertical="center" wrapText="1"/>
    </xf>
    <xf numFmtId="0" fontId="21" fillId="0" borderId="0" xfId="0" applyFont="1" applyAlignment="1">
      <alignment horizontal="center" vertical="center"/>
    </xf>
    <xf numFmtId="0" fontId="33" fillId="9" borderId="1" xfId="0" applyFont="1" applyFill="1" applyBorder="1" applyAlignment="1">
      <alignment horizontal="left" vertical="center" wrapText="1"/>
    </xf>
    <xf numFmtId="168" fontId="31" fillId="6" borderId="1" xfId="0" applyNumberFormat="1" applyFont="1" applyFill="1" applyBorder="1" applyAlignment="1">
      <alignment horizontal="right" vertical="center"/>
    </xf>
    <xf numFmtId="170" fontId="31" fillId="6" borderId="1" xfId="0" applyNumberFormat="1" applyFont="1" applyFill="1" applyBorder="1" applyAlignment="1">
      <alignment horizontal="right" vertical="center"/>
    </xf>
    <xf numFmtId="3" fontId="31" fillId="6" borderId="1" xfId="0" applyNumberFormat="1" applyFont="1" applyFill="1" applyBorder="1" applyAlignment="1">
      <alignment horizontal="right" vertical="center"/>
    </xf>
    <xf numFmtId="168" fontId="0" fillId="0" borderId="0" xfId="0" applyNumberFormat="1"/>
    <xf numFmtId="170" fontId="20" fillId="0" borderId="0" xfId="0" applyNumberFormat="1" applyFont="1"/>
    <xf numFmtId="171" fontId="0" fillId="0" borderId="7" xfId="0" applyNumberFormat="1" applyBorder="1"/>
    <xf numFmtId="0" fontId="0" fillId="0" borderId="7" xfId="0" applyBorder="1"/>
    <xf numFmtId="0" fontId="0" fillId="0" borderId="8" xfId="0" applyBorder="1"/>
    <xf numFmtId="0" fontId="31" fillId="0" borderId="0" xfId="0" applyFont="1" applyAlignment="1">
      <alignment horizontal="left" vertical="center" wrapText="1"/>
    </xf>
    <xf numFmtId="0" fontId="30" fillId="3" borderId="1" xfId="0" applyFont="1" applyFill="1" applyBorder="1" applyAlignment="1">
      <alignment horizontal="left" vertical="center" wrapText="1"/>
    </xf>
    <xf numFmtId="0" fontId="30" fillId="3" borderId="1" xfId="0" applyFont="1" applyFill="1" applyBorder="1" applyAlignment="1">
      <alignment horizontal="left" vertical="center"/>
    </xf>
    <xf numFmtId="172" fontId="31" fillId="0" borderId="1" xfId="0" applyNumberFormat="1" applyFont="1" applyBorder="1" applyAlignment="1">
      <alignment horizontal="right" vertical="center"/>
    </xf>
    <xf numFmtId="166" fontId="31" fillId="0" borderId="1" xfId="0" applyNumberFormat="1" applyFont="1" applyBorder="1" applyAlignment="1">
      <alignment horizontal="right" vertical="center"/>
    </xf>
    <xf numFmtId="170" fontId="31" fillId="0" borderId="1" xfId="0" applyNumberFormat="1" applyFont="1" applyBorder="1" applyAlignment="1">
      <alignment horizontal="right" vertical="center"/>
    </xf>
    <xf numFmtId="0" fontId="34" fillId="3" borderId="9" xfId="0" applyFont="1" applyFill="1" applyBorder="1" applyAlignment="1">
      <alignment horizontal="left" vertical="center" wrapText="1"/>
    </xf>
    <xf numFmtId="166" fontId="35" fillId="0" borderId="9" xfId="0" applyNumberFormat="1" applyFont="1" applyBorder="1" applyAlignment="1">
      <alignment horizontal="right" vertical="center"/>
    </xf>
    <xf numFmtId="170" fontId="35" fillId="0" borderId="9" xfId="0" applyNumberFormat="1" applyFont="1" applyBorder="1" applyAlignment="1">
      <alignment horizontal="right" vertical="center"/>
    </xf>
    <xf numFmtId="168" fontId="20" fillId="10" borderId="1" xfId="0" applyNumberFormat="1" applyFont="1" applyFill="1" applyBorder="1" applyAlignment="1">
      <alignment horizontal="right" vertical="center"/>
    </xf>
    <xf numFmtId="168" fontId="20" fillId="0" borderId="0" xfId="0" applyNumberFormat="1" applyFont="1"/>
    <xf numFmtId="0" fontId="35" fillId="6" borderId="10" xfId="0" applyFont="1" applyFill="1" applyBorder="1" applyAlignment="1">
      <alignment horizontal="center" vertical="center" wrapText="1"/>
    </xf>
    <xf numFmtId="0" fontId="20" fillId="3" borderId="1" xfId="0" applyFont="1" applyFill="1" applyBorder="1" applyAlignment="1">
      <alignment horizontal="right" vertical="center"/>
    </xf>
    <xf numFmtId="164" fontId="31" fillId="3" borderId="1" xfId="0" applyNumberFormat="1" applyFont="1" applyFill="1" applyBorder="1" applyAlignment="1">
      <alignment horizontal="right" vertical="center"/>
    </xf>
    <xf numFmtId="4" fontId="31" fillId="0" borderId="1" xfId="0" applyNumberFormat="1" applyFont="1" applyBorder="1" applyAlignment="1">
      <alignment horizontal="right"/>
    </xf>
    <xf numFmtId="4" fontId="20" fillId="3" borderId="1" xfId="0" applyNumberFormat="1" applyFont="1" applyFill="1" applyBorder="1" applyAlignment="1">
      <alignment horizontal="right" vertical="center"/>
    </xf>
    <xf numFmtId="0" fontId="31" fillId="0" borderId="1" xfId="0" applyFont="1" applyBorder="1" applyAlignment="1">
      <alignment horizontal="left" wrapText="1"/>
    </xf>
    <xf numFmtId="0" fontId="36" fillId="12" borderId="11" xfId="0" applyFont="1" applyFill="1" applyBorder="1" applyAlignment="1">
      <alignment horizontal="center" vertical="center" wrapText="1"/>
    </xf>
    <xf numFmtId="0" fontId="37" fillId="7" borderId="0" xfId="0" applyFont="1" applyFill="1" applyAlignment="1">
      <alignment horizontal="center" vertical="center" wrapText="1"/>
    </xf>
    <xf numFmtId="0" fontId="36" fillId="12" borderId="12" xfId="0" applyFont="1" applyFill="1" applyBorder="1" applyAlignment="1">
      <alignment horizontal="center" vertical="center" wrapText="1"/>
    </xf>
    <xf numFmtId="0" fontId="38" fillId="10" borderId="1" xfId="0" applyFont="1" applyFill="1" applyBorder="1" applyAlignment="1">
      <alignment horizontal="left" vertical="center"/>
    </xf>
    <xf numFmtId="38" fontId="37" fillId="7" borderId="1" xfId="0" applyNumberFormat="1" applyFont="1" applyFill="1" applyBorder="1" applyAlignment="1">
      <alignment horizontal="center" vertical="center"/>
    </xf>
    <xf numFmtId="164" fontId="37" fillId="7" borderId="1" xfId="0" applyNumberFormat="1" applyFont="1" applyFill="1" applyBorder="1" applyAlignment="1">
      <alignment horizontal="right" vertical="center"/>
    </xf>
    <xf numFmtId="173" fontId="37" fillId="7" borderId="1" xfId="0" applyNumberFormat="1" applyFont="1" applyFill="1" applyBorder="1" applyAlignment="1">
      <alignment horizontal="right" vertical="center"/>
    </xf>
    <xf numFmtId="0" fontId="39" fillId="7" borderId="13" xfId="0" applyFont="1" applyFill="1" applyBorder="1" applyAlignment="1">
      <alignment horizontal="left" vertical="center"/>
    </xf>
    <xf numFmtId="164" fontId="37" fillId="10" borderId="14" xfId="0" applyNumberFormat="1" applyFont="1" applyFill="1" applyBorder="1" applyAlignment="1">
      <alignment horizontal="center" vertical="center"/>
    </xf>
    <xf numFmtId="173" fontId="37" fillId="10" borderId="13" xfId="0" applyNumberFormat="1" applyFont="1" applyFill="1" applyBorder="1" applyAlignment="1">
      <alignment horizontal="center" vertical="center"/>
    </xf>
    <xf numFmtId="38" fontId="37" fillId="10" borderId="13" xfId="0" applyNumberFormat="1" applyFont="1" applyFill="1" applyBorder="1" applyAlignment="1">
      <alignment horizontal="center" vertical="center"/>
    </xf>
    <xf numFmtId="38" fontId="37" fillId="10" borderId="14" xfId="0" applyNumberFormat="1" applyFont="1" applyFill="1" applyBorder="1" applyAlignment="1">
      <alignment horizontal="center" vertical="center"/>
    </xf>
    <xf numFmtId="0" fontId="37" fillId="7" borderId="13" xfId="0" applyFont="1" applyFill="1" applyBorder="1" applyAlignment="1">
      <alignment horizontal="left" vertical="center"/>
    </xf>
    <xf numFmtId="0" fontId="40" fillId="6" borderId="1" xfId="0" applyFont="1" applyFill="1" applyBorder="1" applyAlignment="1">
      <alignment horizontal="left" vertical="center"/>
    </xf>
    <xf numFmtId="38" fontId="40" fillId="6" borderId="1" xfId="0" applyNumberFormat="1" applyFont="1" applyFill="1" applyBorder="1" applyAlignment="1">
      <alignment horizontal="center" vertical="center" wrapText="1"/>
    </xf>
    <xf numFmtId="164" fontId="40" fillId="6" borderId="1" xfId="0" applyNumberFormat="1" applyFont="1" applyFill="1" applyBorder="1" applyAlignment="1">
      <alignment horizontal="center" vertical="center" wrapText="1"/>
    </xf>
    <xf numFmtId="173" fontId="40" fillId="6" borderId="1" xfId="0" applyNumberFormat="1" applyFont="1" applyFill="1" applyBorder="1" applyAlignment="1">
      <alignment horizontal="center" vertical="center" wrapText="1"/>
    </xf>
    <xf numFmtId="0" fontId="40" fillId="6" borderId="15" xfId="0" applyFont="1" applyFill="1" applyBorder="1" applyAlignment="1">
      <alignment horizontal="left" vertical="center"/>
    </xf>
    <xf numFmtId="164" fontId="40" fillId="6" borderId="15" xfId="0" applyNumberFormat="1" applyFont="1" applyFill="1" applyBorder="1" applyAlignment="1">
      <alignment horizontal="center" vertical="center" wrapText="1"/>
    </xf>
    <xf numFmtId="173" fontId="40" fillId="6" borderId="15" xfId="0" applyNumberFormat="1" applyFont="1" applyFill="1" applyBorder="1" applyAlignment="1">
      <alignment horizontal="center" vertical="center" wrapText="1"/>
    </xf>
    <xf numFmtId="38" fontId="40" fillId="6" borderId="15" xfId="0" applyNumberFormat="1" applyFont="1" applyFill="1" applyBorder="1" applyAlignment="1">
      <alignment horizontal="center" vertical="center" wrapText="1"/>
    </xf>
    <xf numFmtId="0" fontId="35" fillId="6" borderId="10" xfId="0" applyFont="1" applyFill="1" applyBorder="1" applyAlignment="1">
      <alignment horizontal="left" vertical="center" wrapText="1"/>
    </xf>
    <xf numFmtId="0" fontId="35" fillId="6" borderId="10" xfId="0" applyFont="1" applyFill="1" applyBorder="1" applyAlignment="1">
      <alignment horizontal="left" vertical="center"/>
    </xf>
    <xf numFmtId="0" fontId="41" fillId="6" borderId="10" xfId="0" applyFont="1" applyFill="1" applyBorder="1" applyAlignment="1">
      <alignment horizontal="left" vertical="center" wrapText="1"/>
    </xf>
    <xf numFmtId="172" fontId="31" fillId="7" borderId="1" xfId="0" applyNumberFormat="1" applyFont="1" applyFill="1" applyBorder="1" applyAlignment="1">
      <alignment horizontal="right" vertical="center"/>
    </xf>
    <xf numFmtId="0" fontId="31" fillId="0" borderId="1" xfId="0" applyFont="1" applyBorder="1" applyAlignment="1">
      <alignment horizontal="left" vertical="center"/>
    </xf>
    <xf numFmtId="0" fontId="27" fillId="0" borderId="1" xfId="0" applyFont="1" applyBorder="1" applyAlignment="1">
      <alignment vertical="center"/>
    </xf>
    <xf numFmtId="0" fontId="41" fillId="0" borderId="1" xfId="0" applyFont="1" applyBorder="1" applyAlignment="1">
      <alignment horizontal="left" vertical="center" wrapText="1"/>
    </xf>
    <xf numFmtId="1" fontId="31" fillId="10" borderId="1" xfId="0" applyNumberFormat="1" applyFont="1" applyFill="1" applyBorder="1" applyAlignment="1">
      <alignment horizontal="right" vertical="center"/>
    </xf>
    <xf numFmtId="164" fontId="21" fillId="10" borderId="0" xfId="0" applyNumberFormat="1" applyFont="1" applyFill="1"/>
    <xf numFmtId="2" fontId="31" fillId="10" borderId="1" xfId="0" applyNumberFormat="1" applyFont="1" applyFill="1" applyBorder="1" applyAlignment="1">
      <alignment horizontal="right" vertical="center"/>
    </xf>
    <xf numFmtId="0" fontId="7" fillId="3" borderId="1" xfId="0" applyFont="1" applyFill="1" applyBorder="1" applyAlignment="1">
      <alignment horizontal="left" vertical="center" wrapText="1"/>
    </xf>
    <xf numFmtId="0" fontId="7" fillId="6" borderId="0" xfId="0" applyFont="1" applyFill="1" applyAlignment="1">
      <alignment vertical="center" wrapText="1"/>
    </xf>
    <xf numFmtId="0" fontId="7" fillId="0" borderId="0" xfId="0" applyFont="1" applyAlignment="1">
      <alignment vertical="center"/>
    </xf>
    <xf numFmtId="166" fontId="27" fillId="0" borderId="0" xfId="0" applyNumberFormat="1" applyFont="1" applyAlignment="1">
      <alignment vertical="center"/>
    </xf>
    <xf numFmtId="0" fontId="27" fillId="0" borderId="0" xfId="0" applyFont="1" applyAlignment="1">
      <alignment vertical="center"/>
    </xf>
    <xf numFmtId="166" fontId="30" fillId="3" borderId="0" xfId="0" applyNumberFormat="1" applyFont="1" applyFill="1" applyAlignment="1">
      <alignment horizontal="left" vertical="center"/>
    </xf>
    <xf numFmtId="166" fontId="35" fillId="6" borderId="10" xfId="0" applyNumberFormat="1" applyFont="1" applyFill="1" applyBorder="1" applyAlignment="1">
      <alignment horizontal="left" vertical="center"/>
    </xf>
    <xf numFmtId="0" fontId="34" fillId="3" borderId="1" xfId="0" applyFont="1" applyFill="1" applyBorder="1" applyAlignment="1">
      <alignment horizontal="left" vertical="center" wrapText="1"/>
    </xf>
    <xf numFmtId="166" fontId="35" fillId="0" borderId="1" xfId="0" applyNumberFormat="1" applyFont="1" applyBorder="1" applyAlignment="1">
      <alignment horizontal="right" vertical="center"/>
    </xf>
    <xf numFmtId="0" fontId="35" fillId="0" borderId="1" xfId="0" applyFont="1" applyBorder="1" applyAlignment="1">
      <alignment horizontal="left" vertical="center"/>
    </xf>
    <xf numFmtId="0" fontId="35" fillId="0" borderId="1" xfId="0" applyFont="1" applyBorder="1" applyAlignment="1">
      <alignment horizontal="left" vertical="center" wrapText="1"/>
    </xf>
    <xf numFmtId="0" fontId="35" fillId="6" borderId="16" xfId="0" applyFont="1" applyFill="1" applyBorder="1" applyAlignment="1">
      <alignment horizontal="left" vertical="center" wrapText="1"/>
    </xf>
    <xf numFmtId="0" fontId="35" fillId="6" borderId="16" xfId="0" applyFont="1" applyFill="1" applyBorder="1" applyAlignment="1">
      <alignment horizontal="left" vertical="center"/>
    </xf>
    <xf numFmtId="0" fontId="35" fillId="6" borderId="16" xfId="0" applyFont="1" applyFill="1" applyBorder="1" applyAlignment="1">
      <alignment horizontal="center" vertical="center"/>
    </xf>
    <xf numFmtId="172" fontId="31" fillId="0" borderId="0" xfId="0" applyNumberFormat="1" applyFont="1" applyAlignment="1">
      <alignment horizontal="right" vertical="center"/>
    </xf>
    <xf numFmtId="172" fontId="31" fillId="6" borderId="0" xfId="0" applyNumberFormat="1" applyFont="1" applyFill="1" applyAlignment="1">
      <alignment horizontal="right" vertical="center"/>
    </xf>
    <xf numFmtId="0" fontId="31" fillId="8" borderId="0" xfId="0" applyFont="1" applyFill="1" applyAlignment="1">
      <alignment horizontal="left" vertical="center"/>
    </xf>
    <xf numFmtId="166" fontId="31" fillId="0" borderId="0" xfId="0" applyNumberFormat="1" applyFont="1" applyAlignment="1">
      <alignment horizontal="right" vertical="center"/>
    </xf>
    <xf numFmtId="166" fontId="31" fillId="6" borderId="0" xfId="0" applyNumberFormat="1" applyFont="1" applyFill="1" applyAlignment="1">
      <alignment horizontal="right" vertical="center"/>
    </xf>
    <xf numFmtId="166" fontId="31" fillId="7" borderId="1" xfId="0" applyNumberFormat="1" applyFont="1" applyFill="1" applyBorder="1" applyAlignment="1">
      <alignment horizontal="right" vertical="center"/>
    </xf>
    <xf numFmtId="164" fontId="31" fillId="0" borderId="1" xfId="0" applyNumberFormat="1" applyFont="1" applyBorder="1" applyAlignment="1">
      <alignment horizontal="right" vertical="center"/>
    </xf>
    <xf numFmtId="166" fontId="35" fillId="8" borderId="1" xfId="0" applyNumberFormat="1" applyFont="1" applyFill="1" applyBorder="1" applyAlignment="1">
      <alignment horizontal="right" vertical="center"/>
    </xf>
    <xf numFmtId="166" fontId="31" fillId="8" borderId="1" xfId="0" applyNumberFormat="1" applyFont="1" applyFill="1" applyBorder="1" applyAlignment="1">
      <alignment horizontal="right" vertical="center"/>
    </xf>
    <xf numFmtId="0" fontId="42" fillId="13" borderId="0" xfId="0" applyFont="1" applyFill="1"/>
    <xf numFmtId="0" fontId="27" fillId="13" borderId="1" xfId="0" applyFont="1" applyFill="1" applyBorder="1"/>
    <xf numFmtId="3" fontId="43" fillId="10" borderId="1" xfId="0" applyNumberFormat="1" applyFont="1" applyFill="1" applyBorder="1"/>
    <xf numFmtId="164" fontId="20" fillId="10" borderId="1" xfId="0" applyNumberFormat="1" applyFont="1" applyFill="1" applyBorder="1"/>
    <xf numFmtId="164" fontId="0" fillId="0" borderId="1" xfId="0" applyNumberFormat="1" applyBorder="1"/>
    <xf numFmtId="0" fontId="44" fillId="0" borderId="0" xfId="0" applyFont="1"/>
    <xf numFmtId="0" fontId="0" fillId="0" borderId="1" xfId="0" applyBorder="1"/>
    <xf numFmtId="3" fontId="20" fillId="10" borderId="1" xfId="0" applyNumberFormat="1" applyFont="1" applyFill="1" applyBorder="1"/>
    <xf numFmtId="169" fontId="20" fillId="10" borderId="1" xfId="0" applyNumberFormat="1" applyFont="1" applyFill="1" applyBorder="1"/>
    <xf numFmtId="0" fontId="35" fillId="3" borderId="1" xfId="0" applyFont="1" applyFill="1" applyBorder="1" applyAlignment="1">
      <alignment horizontal="left" vertical="center" wrapText="1"/>
    </xf>
    <xf numFmtId="173" fontId="35" fillId="3" borderId="1" xfId="0" applyNumberFormat="1" applyFont="1" applyFill="1" applyBorder="1" applyAlignment="1">
      <alignment horizontal="right" vertical="center"/>
    </xf>
    <xf numFmtId="173" fontId="31" fillId="0" borderId="1" xfId="0" applyNumberFormat="1" applyFont="1" applyBorder="1" applyAlignment="1">
      <alignment horizontal="right" vertical="center"/>
    </xf>
    <xf numFmtId="173" fontId="34" fillId="3" borderId="1" xfId="0" applyNumberFormat="1" applyFont="1" applyFill="1" applyBorder="1" applyAlignment="1">
      <alignment horizontal="right" vertical="center" wrapText="1"/>
    </xf>
    <xf numFmtId="174" fontId="31" fillId="0" borderId="1" xfId="0" applyNumberFormat="1" applyFont="1" applyBorder="1" applyAlignment="1">
      <alignment horizontal="right" vertical="center"/>
    </xf>
    <xf numFmtId="173" fontId="33" fillId="7" borderId="1" xfId="0" applyNumberFormat="1" applyFont="1" applyFill="1" applyBorder="1" applyAlignment="1">
      <alignment horizontal="right" vertical="center"/>
    </xf>
    <xf numFmtId="174" fontId="33" fillId="7" borderId="1" xfId="0" applyNumberFormat="1" applyFont="1" applyFill="1" applyBorder="1" applyAlignment="1">
      <alignment horizontal="right" vertical="center"/>
    </xf>
    <xf numFmtId="173" fontId="35" fillId="7" borderId="1" xfId="0" applyNumberFormat="1" applyFont="1" applyFill="1" applyBorder="1" applyAlignment="1">
      <alignment horizontal="right" vertical="center"/>
    </xf>
    <xf numFmtId="174" fontId="35" fillId="7" borderId="1" xfId="0" applyNumberFormat="1" applyFont="1" applyFill="1" applyBorder="1" applyAlignment="1">
      <alignment horizontal="right" vertical="center"/>
    </xf>
    <xf numFmtId="173" fontId="35" fillId="0" borderId="1" xfId="0" applyNumberFormat="1" applyFont="1" applyBorder="1" applyAlignment="1">
      <alignment horizontal="right" vertical="center"/>
    </xf>
    <xf numFmtId="174" fontId="35" fillId="0" borderId="1" xfId="0" applyNumberFormat="1" applyFont="1" applyBorder="1" applyAlignment="1">
      <alignment horizontal="right" vertical="center"/>
    </xf>
    <xf numFmtId="1" fontId="31" fillId="0" borderId="1" xfId="0" applyNumberFormat="1" applyFont="1" applyBorder="1" applyAlignment="1">
      <alignment horizontal="right" vertical="center"/>
    </xf>
    <xf numFmtId="173" fontId="31" fillId="6" borderId="1" xfId="0" applyNumberFormat="1" applyFont="1" applyFill="1" applyBorder="1" applyAlignment="1">
      <alignment horizontal="right" vertical="center"/>
    </xf>
    <xf numFmtId="174" fontId="31" fillId="6" borderId="1" xfId="0" applyNumberFormat="1" applyFont="1" applyFill="1" applyBorder="1" applyAlignment="1">
      <alignment horizontal="right" vertical="center"/>
    </xf>
    <xf numFmtId="166" fontId="31" fillId="6" borderId="1" xfId="0" applyNumberFormat="1" applyFont="1" applyFill="1" applyBorder="1" applyAlignment="1">
      <alignment horizontal="right" vertical="center"/>
    </xf>
    <xf numFmtId="0" fontId="27" fillId="0" borderId="1" xfId="0" applyFont="1" applyBorder="1" applyAlignment="1">
      <alignment horizontal="left" vertical="center" wrapText="1"/>
    </xf>
    <xf numFmtId="0" fontId="27" fillId="0" borderId="1" xfId="0" applyFont="1" applyBorder="1" applyAlignment="1">
      <alignment horizontal="right" vertical="center"/>
    </xf>
    <xf numFmtId="0" fontId="27" fillId="0" borderId="1" xfId="0" applyFont="1" applyBorder="1" applyAlignment="1">
      <alignment horizontal="center" vertical="center"/>
    </xf>
    <xf numFmtId="0" fontId="27" fillId="0" borderId="0" xfId="0" applyFont="1" applyAlignment="1">
      <alignment horizontal="right" vertical="center"/>
    </xf>
    <xf numFmtId="0" fontId="27" fillId="0" borderId="0" xfId="0" applyFont="1" applyAlignment="1">
      <alignment horizontal="center" vertical="center"/>
    </xf>
    <xf numFmtId="0" fontId="31" fillId="0" borderId="0" xfId="0" applyFont="1" applyAlignment="1">
      <alignment horizontal="right" vertical="center"/>
    </xf>
    <xf numFmtId="0" fontId="48" fillId="2" borderId="0" xfId="0" applyFont="1" applyFill="1" applyAlignment="1">
      <alignment horizontal="center" vertical="center" wrapText="1"/>
    </xf>
    <xf numFmtId="175" fontId="49" fillId="8" borderId="1" xfId="0" applyNumberFormat="1" applyFont="1" applyFill="1" applyBorder="1" applyAlignment="1">
      <alignment horizontal="right" vertical="center"/>
    </xf>
    <xf numFmtId="166" fontId="49" fillId="8" borderId="1" xfId="0" applyNumberFormat="1" applyFont="1" applyFill="1" applyBorder="1" applyAlignment="1">
      <alignment horizontal="right" vertical="center"/>
    </xf>
    <xf numFmtId="0" fontId="35" fillId="6" borderId="1" xfId="0" applyFont="1" applyFill="1" applyBorder="1" applyAlignment="1">
      <alignment horizontal="left" vertical="center"/>
    </xf>
    <xf numFmtId="2" fontId="31" fillId="0" borderId="1" xfId="0" applyNumberFormat="1" applyFont="1" applyBorder="1" applyAlignment="1">
      <alignment horizontal="right" vertical="center"/>
    </xf>
    <xf numFmtId="164" fontId="0" fillId="0" borderId="0" xfId="0" applyNumberFormat="1"/>
    <xf numFmtId="0" fontId="31" fillId="0" borderId="1" xfId="0" applyFont="1" applyBorder="1" applyAlignment="1">
      <alignment horizontal="right" vertical="center"/>
    </xf>
    <xf numFmtId="0" fontId="7" fillId="3" borderId="4" xfId="0" applyFont="1" applyFill="1" applyBorder="1" applyAlignment="1">
      <alignment horizontal="center"/>
    </xf>
    <xf numFmtId="0" fontId="0" fillId="0" borderId="4" xfId="0" applyBorder="1"/>
    <xf numFmtId="173" fontId="0" fillId="0" borderId="4" xfId="0" applyNumberFormat="1" applyBorder="1"/>
    <xf numFmtId="0" fontId="7" fillId="8" borderId="4" xfId="0" applyFont="1" applyFill="1" applyBorder="1"/>
    <xf numFmtId="173" fontId="7" fillId="8" borderId="4" xfId="0" applyNumberFormat="1" applyFont="1" applyFill="1" applyBorder="1"/>
    <xf numFmtId="0" fontId="7" fillId="0" borderId="0" xfId="0" applyFont="1"/>
    <xf numFmtId="0" fontId="21" fillId="6" borderId="10" xfId="0" applyFont="1" applyFill="1" applyBorder="1" applyAlignment="1">
      <alignment horizontal="left"/>
    </xf>
    <xf numFmtId="168" fontId="20" fillId="3" borderId="10" xfId="0" applyNumberFormat="1" applyFont="1" applyFill="1" applyBorder="1" applyAlignment="1">
      <alignment horizontal="right"/>
    </xf>
    <xf numFmtId="3" fontId="20" fillId="3" borderId="10" xfId="0" applyNumberFormat="1" applyFont="1" applyFill="1" applyBorder="1" applyAlignment="1">
      <alignment horizontal="right"/>
    </xf>
    <xf numFmtId="168" fontId="21" fillId="6" borderId="10" xfId="0" applyNumberFormat="1" applyFont="1" applyFill="1" applyBorder="1" applyAlignment="1">
      <alignment horizontal="left"/>
    </xf>
    <xf numFmtId="173" fontId="20" fillId="3" borderId="10" xfId="0" applyNumberFormat="1" applyFont="1" applyFill="1" applyBorder="1" applyAlignment="1">
      <alignment horizontal="right"/>
    </xf>
    <xf numFmtId="0" fontId="44" fillId="3" borderId="0" xfId="0" applyFont="1" applyFill="1" applyAlignment="1">
      <alignment horizontal="left" vertical="center" wrapText="1"/>
    </xf>
    <xf numFmtId="0" fontId="31" fillId="0" borderId="1" xfId="0" applyFont="1" applyBorder="1" applyAlignment="1">
      <alignment horizontal="left"/>
    </xf>
    <xf numFmtId="173" fontId="31" fillId="0" borderId="1" xfId="0" applyNumberFormat="1" applyFont="1" applyBorder="1" applyAlignment="1">
      <alignment horizontal="right"/>
    </xf>
    <xf numFmtId="0" fontId="35" fillId="0" borderId="1" xfId="0" applyFont="1" applyBorder="1" applyAlignment="1">
      <alignment horizontal="left"/>
    </xf>
    <xf numFmtId="173" fontId="35" fillId="0" borderId="1" xfId="0" applyNumberFormat="1" applyFont="1" applyBorder="1" applyAlignment="1">
      <alignment horizontal="right"/>
    </xf>
    <xf numFmtId="0" fontId="44" fillId="3" borderId="1" xfId="0" applyFont="1" applyFill="1" applyBorder="1" applyAlignment="1">
      <alignment horizontal="left" vertical="center" wrapText="1"/>
    </xf>
    <xf numFmtId="0" fontId="34" fillId="3" borderId="1" xfId="0" applyFont="1" applyFill="1" applyBorder="1" applyAlignment="1">
      <alignment horizontal="left"/>
    </xf>
    <xf numFmtId="173" fontId="34" fillId="3" borderId="1" xfId="0" applyNumberFormat="1" applyFont="1" applyFill="1" applyBorder="1" applyAlignment="1">
      <alignment horizontal="right"/>
    </xf>
    <xf numFmtId="173" fontId="31" fillId="3" borderId="1" xfId="0" applyNumberFormat="1" applyFont="1" applyFill="1" applyBorder="1" applyAlignment="1">
      <alignment horizontal="right"/>
    </xf>
    <xf numFmtId="0" fontId="44" fillId="3" borderId="18" xfId="0" applyFont="1" applyFill="1" applyBorder="1" applyAlignment="1">
      <alignment horizontal="left" vertical="center" wrapText="1"/>
    </xf>
    <xf numFmtId="0" fontId="34" fillId="3" borderId="18" xfId="0" applyFont="1" applyFill="1" applyBorder="1" applyAlignment="1">
      <alignment horizontal="left" vertical="center" wrapText="1"/>
    </xf>
    <xf numFmtId="0" fontId="44" fillId="6" borderId="1" xfId="0" applyFont="1" applyFill="1" applyBorder="1" applyAlignment="1">
      <alignment horizontal="left" vertical="center" wrapText="1"/>
    </xf>
    <xf numFmtId="173" fontId="44" fillId="6" borderId="1" xfId="0" applyNumberFormat="1" applyFont="1" applyFill="1" applyBorder="1" applyAlignment="1">
      <alignment horizontal="left" vertical="center" wrapText="1"/>
    </xf>
    <xf numFmtId="173" fontId="0" fillId="0" borderId="0" xfId="0" applyNumberFormat="1"/>
    <xf numFmtId="0" fontId="44" fillId="6" borderId="0" xfId="0" applyFont="1" applyFill="1" applyAlignment="1">
      <alignment horizontal="left" vertical="center" wrapText="1"/>
    </xf>
    <xf numFmtId="173" fontId="44" fillId="6" borderId="0" xfId="0" applyNumberFormat="1" applyFont="1" applyFill="1" applyAlignment="1">
      <alignment horizontal="left" vertical="center" wrapText="1"/>
    </xf>
    <xf numFmtId="0" fontId="31" fillId="0" borderId="1" xfId="0" applyFont="1" applyBorder="1" applyAlignment="1">
      <alignment horizontal="right"/>
    </xf>
    <xf numFmtId="0" fontId="51" fillId="2" borderId="19" xfId="0" applyFont="1" applyFill="1" applyBorder="1"/>
    <xf numFmtId="0" fontId="44" fillId="3" borderId="19" xfId="0" applyFont="1" applyFill="1" applyBorder="1"/>
    <xf numFmtId="173" fontId="44" fillId="3" borderId="19" xfId="0" applyNumberFormat="1" applyFont="1" applyFill="1" applyBorder="1"/>
    <xf numFmtId="0" fontId="51" fillId="2" borderId="19" xfId="0" applyFont="1" applyFill="1" applyBorder="1" applyAlignment="1">
      <alignment horizontal="center" vertical="center" wrapText="1"/>
    </xf>
    <xf numFmtId="173" fontId="44" fillId="3" borderId="19" xfId="0" applyNumberFormat="1" applyFont="1" applyFill="1" applyBorder="1" applyAlignment="1">
      <alignment horizontal="center" vertical="center" wrapText="1"/>
    </xf>
    <xf numFmtId="0" fontId="20" fillId="0" borderId="0" xfId="0" applyFont="1"/>
    <xf numFmtId="0" fontId="35" fillId="3" borderId="1" xfId="0" applyFont="1" applyFill="1" applyBorder="1" applyAlignment="1">
      <alignment horizontal="left"/>
    </xf>
    <xf numFmtId="173" fontId="35" fillId="3" borderId="1" xfId="0" applyNumberFormat="1" applyFont="1" applyFill="1" applyBorder="1" applyAlignment="1">
      <alignment horizontal="right"/>
    </xf>
    <xf numFmtId="174" fontId="31" fillId="0" borderId="1" xfId="0" applyNumberFormat="1" applyFont="1" applyBorder="1" applyAlignment="1">
      <alignment horizontal="right"/>
    </xf>
    <xf numFmtId="174" fontId="31" fillId="0" borderId="0" xfId="0" applyNumberFormat="1" applyFont="1" applyAlignment="1">
      <alignment horizontal="right"/>
    </xf>
    <xf numFmtId="174" fontId="34" fillId="3" borderId="1" xfId="0" applyNumberFormat="1" applyFont="1" applyFill="1" applyBorder="1" applyAlignment="1">
      <alignment horizontal="right"/>
    </xf>
    <xf numFmtId="173" fontId="31" fillId="11" borderId="1" xfId="0" applyNumberFormat="1" applyFont="1" applyFill="1" applyBorder="1" applyAlignment="1">
      <alignment horizontal="right"/>
    </xf>
    <xf numFmtId="174" fontId="31" fillId="11" borderId="1" xfId="0" applyNumberFormat="1" applyFont="1" applyFill="1" applyBorder="1" applyAlignment="1">
      <alignment horizontal="right"/>
    </xf>
    <xf numFmtId="0" fontId="44" fillId="3" borderId="0" xfId="0" applyFont="1" applyFill="1" applyAlignment="1">
      <alignment horizontal="left"/>
    </xf>
    <xf numFmtId="173" fontId="44" fillId="3" borderId="0" xfId="0" applyNumberFormat="1" applyFont="1" applyFill="1" applyAlignment="1">
      <alignment horizontal="right"/>
    </xf>
    <xf numFmtId="174" fontId="44" fillId="3" borderId="0" xfId="0" applyNumberFormat="1" applyFont="1" applyFill="1" applyAlignment="1">
      <alignment horizontal="right"/>
    </xf>
    <xf numFmtId="0" fontId="23" fillId="2" borderId="0" xfId="0" applyFont="1" applyFill="1"/>
    <xf numFmtId="0" fontId="0" fillId="0" borderId="19" xfId="0" applyBorder="1"/>
    <xf numFmtId="173" fontId="0" fillId="0" borderId="19" xfId="0" applyNumberFormat="1" applyBorder="1"/>
    <xf numFmtId="168" fontId="44" fillId="3" borderId="19" xfId="0" applyNumberFormat="1" applyFont="1" applyFill="1" applyBorder="1"/>
    <xf numFmtId="3" fontId="44" fillId="3" borderId="19" xfId="0" applyNumberFormat="1" applyFont="1" applyFill="1" applyBorder="1"/>
    <xf numFmtId="174" fontId="0" fillId="0" borderId="0" xfId="0" applyNumberFormat="1"/>
    <xf numFmtId="172" fontId="35" fillId="6" borderId="1" xfId="0" applyNumberFormat="1" applyFont="1" applyFill="1" applyBorder="1" applyAlignment="1">
      <alignment horizontal="right" vertical="center"/>
    </xf>
    <xf numFmtId="166" fontId="35" fillId="6" borderId="1" xfId="0" applyNumberFormat="1" applyFont="1" applyFill="1" applyBorder="1" applyAlignment="1">
      <alignment horizontal="right" vertical="center"/>
    </xf>
    <xf numFmtId="166" fontId="35" fillId="3" borderId="1" xfId="0" applyNumberFormat="1" applyFont="1" applyFill="1" applyBorder="1" applyAlignment="1">
      <alignment horizontal="right" vertical="center"/>
    </xf>
    <xf numFmtId="0" fontId="44" fillId="3" borderId="4" xfId="0" applyFont="1" applyFill="1" applyBorder="1" applyAlignment="1">
      <alignment horizontal="center"/>
    </xf>
    <xf numFmtId="0" fontId="0" fillId="15" borderId="4" xfId="0" applyFill="1" applyBorder="1"/>
    <xf numFmtId="0" fontId="44" fillId="8" borderId="4" xfId="0" applyFont="1" applyFill="1" applyBorder="1" applyAlignment="1">
      <alignment horizontal="center"/>
    </xf>
    <xf numFmtId="172" fontId="0" fillId="0" borderId="4" xfId="0" applyNumberFormat="1" applyBorder="1"/>
    <xf numFmtId="2" fontId="0" fillId="0" borderId="4" xfId="0" applyNumberFormat="1" applyBorder="1"/>
    <xf numFmtId="173" fontId="0" fillId="15" borderId="4" xfId="0" applyNumberFormat="1" applyFill="1" applyBorder="1"/>
    <xf numFmtId="0" fontId="50" fillId="2" borderId="0" xfId="0" applyFont="1" applyFill="1" applyAlignment="1">
      <alignment horizontal="left"/>
    </xf>
    <xf numFmtId="0" fontId="52" fillId="2" borderId="1" xfId="0" applyFont="1" applyFill="1" applyBorder="1"/>
    <xf numFmtId="165" fontId="0" fillId="0" borderId="1" xfId="0" applyNumberFormat="1" applyBorder="1"/>
    <xf numFmtId="0" fontId="4" fillId="3" borderId="1" xfId="0" applyFont="1" applyFill="1" applyBorder="1"/>
    <xf numFmtId="0" fontId="4" fillId="3" borderId="1" xfId="0" applyFont="1" applyFill="1" applyBorder="1" applyAlignment="1">
      <alignment horizontal="center"/>
    </xf>
    <xf numFmtId="4" fontId="27" fillId="0" borderId="0" xfId="0" applyNumberFormat="1" applyFont="1"/>
    <xf numFmtId="173" fontId="27" fillId="0" borderId="0" xfId="0" applyNumberFormat="1" applyFont="1"/>
    <xf numFmtId="164" fontId="27" fillId="0" borderId="0" xfId="0" applyNumberFormat="1" applyFont="1"/>
    <xf numFmtId="0" fontId="47" fillId="0" borderId="1" xfId="0" applyFont="1" applyBorder="1" applyAlignment="1">
      <alignment horizontal="left" vertical="center"/>
    </xf>
    <xf numFmtId="166" fontId="27" fillId="0" borderId="0" xfId="0" applyNumberFormat="1" applyFont="1"/>
    <xf numFmtId="10" fontId="27" fillId="0" borderId="0" xfId="0" applyNumberFormat="1" applyFont="1"/>
    <xf numFmtId="175" fontId="27" fillId="0" borderId="0" xfId="0" applyNumberFormat="1" applyFont="1"/>
    <xf numFmtId="169" fontId="27" fillId="0" borderId="0" xfId="0" applyNumberFormat="1" applyFont="1"/>
    <xf numFmtId="1" fontId="49" fillId="6" borderId="1" xfId="0" applyNumberFormat="1" applyFont="1" applyFill="1" applyBorder="1" applyAlignment="1">
      <alignment horizontal="right" vertical="center"/>
    </xf>
    <xf numFmtId="1" fontId="27" fillId="0" borderId="0" xfId="0" applyNumberFormat="1" applyFont="1"/>
    <xf numFmtId="0" fontId="58" fillId="0" borderId="0" xfId="0" applyFont="1" applyAlignment="1">
      <alignment vertical="center" wrapText="1"/>
    </xf>
    <xf numFmtId="0" fontId="0" fillId="0" borderId="0" xfId="0" applyAlignment="1">
      <alignment vertical="center" wrapText="1"/>
    </xf>
    <xf numFmtId="164" fontId="20" fillId="6" borderId="0" xfId="0" applyNumberFormat="1" applyFont="1" applyFill="1" applyAlignment="1">
      <alignment vertical="center" wrapText="1"/>
    </xf>
    <xf numFmtId="166" fontId="0" fillId="0" borderId="0" xfId="0" applyNumberFormat="1" applyAlignment="1">
      <alignment vertical="center" wrapText="1"/>
    </xf>
    <xf numFmtId="164" fontId="35" fillId="0" borderId="1" xfId="0" applyNumberFormat="1" applyFont="1" applyBorder="1" applyAlignment="1">
      <alignment horizontal="right" vertical="center"/>
    </xf>
    <xf numFmtId="166" fontId="33" fillId="0" borderId="1" xfId="0" applyNumberFormat="1" applyFont="1" applyBorder="1" applyAlignment="1">
      <alignment horizontal="right" vertical="center"/>
    </xf>
    <xf numFmtId="0" fontId="35" fillId="6" borderId="10" xfId="0" applyFont="1" applyFill="1" applyBorder="1" applyAlignment="1">
      <alignment horizontal="center" vertical="center"/>
    </xf>
    <xf numFmtId="0" fontId="35" fillId="6" borderId="10" xfId="0" applyFont="1" applyFill="1" applyBorder="1" applyAlignment="1">
      <alignment horizontal="right" vertical="center"/>
    </xf>
    <xf numFmtId="0" fontId="4" fillId="3" borderId="10" xfId="0" applyFont="1" applyFill="1" applyBorder="1" applyAlignment="1">
      <alignment horizontal="center"/>
    </xf>
    <xf numFmtId="164" fontId="31" fillId="6" borderId="1" xfId="0" applyNumberFormat="1" applyFont="1" applyFill="1" applyBorder="1" applyAlignment="1">
      <alignment horizontal="right" vertical="center"/>
    </xf>
    <xf numFmtId="0" fontId="31" fillId="0" borderId="1" xfId="0" applyFont="1" applyBorder="1" applyAlignment="1">
      <alignment horizontal="center" vertical="center"/>
    </xf>
    <xf numFmtId="0" fontId="44" fillId="3" borderId="1" xfId="0" applyFont="1" applyFill="1" applyBorder="1" applyAlignment="1">
      <alignment vertical="center" wrapText="1"/>
    </xf>
    <xf numFmtId="166" fontId="44" fillId="3" borderId="1" xfId="0" applyNumberFormat="1" applyFont="1" applyFill="1" applyBorder="1" applyAlignment="1">
      <alignment vertical="center" wrapText="1"/>
    </xf>
    <xf numFmtId="0" fontId="0" fillId="0" borderId="1" xfId="0" applyBorder="1" applyAlignment="1">
      <alignment vertical="center" wrapText="1"/>
    </xf>
    <xf numFmtId="0" fontId="44" fillId="0" borderId="1" xfId="0" applyFont="1" applyBorder="1" applyAlignment="1">
      <alignment vertical="center" wrapText="1"/>
    </xf>
    <xf numFmtId="166" fontId="0" fillId="0" borderId="1" xfId="0" applyNumberFormat="1" applyBorder="1" applyAlignment="1">
      <alignment vertical="center" wrapText="1"/>
    </xf>
    <xf numFmtId="175" fontId="0" fillId="0" borderId="1" xfId="0" applyNumberFormat="1" applyBorder="1" applyAlignment="1">
      <alignment vertical="center" wrapText="1"/>
    </xf>
    <xf numFmtId="172" fontId="0" fillId="0" borderId="1" xfId="0" applyNumberFormat="1" applyBorder="1" applyAlignment="1">
      <alignment vertical="center" wrapText="1"/>
    </xf>
    <xf numFmtId="0" fontId="44" fillId="3" borderId="21" xfId="0" applyFont="1" applyFill="1" applyBorder="1" applyAlignment="1">
      <alignment vertical="center" wrapText="1"/>
    </xf>
    <xf numFmtId="0" fontId="44" fillId="3" borderId="22" xfId="0" applyFont="1" applyFill="1" applyBorder="1" applyAlignment="1">
      <alignment vertical="center" wrapText="1"/>
    </xf>
    <xf numFmtId="0" fontId="44" fillId="3" borderId="23" xfId="0" applyFont="1" applyFill="1" applyBorder="1" applyAlignment="1">
      <alignment vertical="center" wrapText="1"/>
    </xf>
    <xf numFmtId="0" fontId="0" fillId="0" borderId="8" xfId="0" applyBorder="1" applyAlignment="1">
      <alignment vertical="center" wrapText="1"/>
    </xf>
    <xf numFmtId="166" fontId="0" fillId="0" borderId="6" xfId="0" applyNumberFormat="1" applyBorder="1" applyAlignment="1">
      <alignment vertical="center" wrapText="1"/>
    </xf>
    <xf numFmtId="0" fontId="0" fillId="0" borderId="24" xfId="0" applyBorder="1" applyAlignment="1">
      <alignment vertical="center" wrapText="1"/>
    </xf>
    <xf numFmtId="166" fontId="0" fillId="0" borderId="18" xfId="0" applyNumberFormat="1" applyBorder="1" applyAlignment="1">
      <alignment vertical="center" wrapText="1"/>
    </xf>
    <xf numFmtId="175" fontId="0" fillId="0" borderId="18" xfId="0" applyNumberFormat="1" applyBorder="1" applyAlignment="1">
      <alignment vertical="center" wrapText="1"/>
    </xf>
    <xf numFmtId="0" fontId="0" fillId="0" borderId="18" xfId="0" applyBorder="1" applyAlignment="1">
      <alignment vertical="center" wrapText="1"/>
    </xf>
    <xf numFmtId="166" fontId="0" fillId="0" borderId="25" xfId="0" applyNumberFormat="1" applyBorder="1" applyAlignment="1">
      <alignment vertical="center" wrapText="1"/>
    </xf>
    <xf numFmtId="0" fontId="44" fillId="3" borderId="0" xfId="0" applyFont="1" applyFill="1" applyAlignment="1">
      <alignment vertical="center" wrapText="1"/>
    </xf>
    <xf numFmtId="0" fontId="0" fillId="3" borderId="0" xfId="0" applyFill="1" applyAlignment="1">
      <alignment vertical="center" wrapText="1"/>
    </xf>
    <xf numFmtId="0" fontId="44" fillId="6" borderId="0" xfId="0" applyFont="1" applyFill="1" applyAlignment="1">
      <alignment vertical="center" wrapText="1"/>
    </xf>
    <xf numFmtId="0" fontId="60" fillId="0" borderId="1" xfId="0" applyFont="1" applyBorder="1" applyAlignment="1">
      <alignment vertical="center" wrapText="1"/>
    </xf>
    <xf numFmtId="0" fontId="50" fillId="2" borderId="0" xfId="0" applyFont="1" applyFill="1"/>
    <xf numFmtId="0" fontId="52" fillId="2" borderId="0" xfId="0" applyFont="1" applyFill="1"/>
    <xf numFmtId="3" fontId="0" fillId="0" borderId="1" xfId="0" applyNumberFormat="1" applyBorder="1"/>
    <xf numFmtId="164" fontId="35" fillId="6" borderId="1" xfId="0" applyNumberFormat="1" applyFont="1" applyFill="1" applyBorder="1" applyAlignment="1">
      <alignment horizontal="right" vertical="center"/>
    </xf>
    <xf numFmtId="164" fontId="35" fillId="8" borderId="1" xfId="0" applyNumberFormat="1" applyFont="1" applyFill="1" applyBorder="1" applyAlignment="1">
      <alignment horizontal="right" vertical="center"/>
    </xf>
    <xf numFmtId="172" fontId="33" fillId="0" borderId="1" xfId="0" applyNumberFormat="1" applyFont="1" applyBorder="1" applyAlignment="1">
      <alignment horizontal="right" vertical="center"/>
    </xf>
    <xf numFmtId="0" fontId="35" fillId="3" borderId="18" xfId="0" applyFont="1" applyFill="1" applyBorder="1" applyAlignment="1">
      <alignment horizontal="left" vertical="center" wrapText="1"/>
    </xf>
    <xf numFmtId="166" fontId="35" fillId="8" borderId="18" xfId="0" applyNumberFormat="1" applyFont="1" applyFill="1" applyBorder="1" applyAlignment="1">
      <alignment horizontal="right" vertical="center"/>
    </xf>
    <xf numFmtId="166" fontId="35" fillId="8" borderId="6" xfId="0" applyNumberFormat="1" applyFont="1" applyFill="1" applyBorder="1" applyAlignment="1">
      <alignment horizontal="right" vertical="center"/>
    </xf>
    <xf numFmtId="0" fontId="35" fillId="0" borderId="22" xfId="0" applyFont="1" applyBorder="1" applyAlignment="1">
      <alignment horizontal="left" vertical="center" wrapText="1"/>
    </xf>
    <xf numFmtId="180" fontId="35" fillId="6" borderId="22" xfId="0" applyNumberFormat="1" applyFont="1" applyFill="1" applyBorder="1" applyAlignment="1">
      <alignment horizontal="right" vertical="center"/>
    </xf>
    <xf numFmtId="175" fontId="31" fillId="0" borderId="1" xfId="0" applyNumberFormat="1" applyFont="1" applyBorder="1" applyAlignment="1">
      <alignment horizontal="right" vertical="center"/>
    </xf>
    <xf numFmtId="166" fontId="31" fillId="0" borderId="1" xfId="0" applyNumberFormat="1" applyFont="1" applyBorder="1" applyAlignment="1">
      <alignment horizontal="left" vertical="center" wrapText="1"/>
    </xf>
    <xf numFmtId="172" fontId="31" fillId="0" borderId="1" xfId="0" applyNumberFormat="1" applyFont="1" applyBorder="1" applyAlignment="1">
      <alignment horizontal="left" vertical="center" wrapText="1"/>
    </xf>
    <xf numFmtId="0" fontId="34" fillId="3" borderId="0" xfId="0" applyFont="1" applyFill="1" applyAlignment="1">
      <alignment horizontal="left" vertical="center" wrapText="1"/>
    </xf>
    <xf numFmtId="175" fontId="35" fillId="0" borderId="0" xfId="0" applyNumberFormat="1" applyFont="1" applyAlignment="1">
      <alignment horizontal="right" vertical="center"/>
    </xf>
    <xf numFmtId="0" fontId="27" fillId="0" borderId="0" xfId="0" applyFont="1" applyAlignment="1">
      <alignment horizontal="right"/>
    </xf>
    <xf numFmtId="166" fontId="27" fillId="0" borderId="0" xfId="0" applyNumberFormat="1" applyFont="1" applyAlignment="1">
      <alignment horizontal="right"/>
    </xf>
    <xf numFmtId="0" fontId="35" fillId="6" borderId="1" xfId="0" applyFont="1" applyFill="1" applyBorder="1" applyAlignment="1">
      <alignment horizontal="right"/>
    </xf>
    <xf numFmtId="0" fontId="27" fillId="0" borderId="1" xfId="0" applyFont="1" applyBorder="1" applyAlignment="1">
      <alignment horizontal="right"/>
    </xf>
    <xf numFmtId="166" fontId="35" fillId="0" borderId="1" xfId="0" applyNumberFormat="1" applyFont="1" applyBorder="1" applyAlignment="1">
      <alignment horizontal="left" vertical="center" wrapText="1"/>
    </xf>
    <xf numFmtId="0" fontId="35" fillId="6" borderId="1" xfId="0" applyFont="1" applyFill="1" applyBorder="1" applyAlignment="1">
      <alignment horizontal="left" vertical="center" wrapText="1"/>
    </xf>
    <xf numFmtId="0" fontId="61" fillId="6" borderId="1" xfId="0" applyFont="1" applyFill="1" applyBorder="1" applyAlignment="1">
      <alignment horizontal="left" vertical="center" wrapText="1"/>
    </xf>
    <xf numFmtId="166" fontId="31" fillId="7" borderId="1" xfId="0" applyNumberFormat="1" applyFont="1" applyFill="1" applyBorder="1" applyAlignment="1">
      <alignment horizontal="left" vertical="center" wrapText="1"/>
    </xf>
    <xf numFmtId="164" fontId="31" fillId="8" borderId="1" xfId="0" applyNumberFormat="1" applyFont="1" applyFill="1" applyBorder="1" applyAlignment="1">
      <alignment horizontal="left" vertical="center"/>
    </xf>
    <xf numFmtId="164" fontId="35" fillId="8" borderId="1" xfId="0" applyNumberFormat="1" applyFont="1" applyFill="1" applyBorder="1" applyAlignment="1">
      <alignment horizontal="left" vertical="center"/>
    </xf>
    <xf numFmtId="166" fontId="35" fillId="7" borderId="1" xfId="0" applyNumberFormat="1" applyFont="1" applyFill="1" applyBorder="1" applyAlignment="1">
      <alignment horizontal="right" vertical="center"/>
    </xf>
    <xf numFmtId="166" fontId="35" fillId="7" borderId="1" xfId="0" applyNumberFormat="1" applyFont="1" applyFill="1" applyBorder="1" applyAlignment="1">
      <alignment horizontal="left" vertical="center" wrapText="1"/>
    </xf>
    <xf numFmtId="175" fontId="31" fillId="8" borderId="1" xfId="0" applyNumberFormat="1" applyFont="1" applyFill="1" applyBorder="1" applyAlignment="1">
      <alignment horizontal="left" vertical="center"/>
    </xf>
    <xf numFmtId="175" fontId="31" fillId="7" borderId="1" xfId="0" applyNumberFormat="1" applyFont="1" applyFill="1" applyBorder="1" applyAlignment="1">
      <alignment horizontal="right" vertical="center"/>
    </xf>
    <xf numFmtId="175" fontId="31" fillId="7" borderId="1" xfId="0" applyNumberFormat="1" applyFont="1" applyFill="1" applyBorder="1" applyAlignment="1">
      <alignment horizontal="left" vertical="center" wrapText="1"/>
    </xf>
    <xf numFmtId="181" fontId="0" fillId="0" borderId="1" xfId="0" applyNumberFormat="1" applyBorder="1" applyAlignment="1">
      <alignment vertical="center" wrapText="1"/>
    </xf>
    <xf numFmtId="4" fontId="0" fillId="0" borderId="0" xfId="0" applyNumberFormat="1"/>
    <xf numFmtId="0" fontId="21" fillId="6" borderId="1" xfId="0" applyFont="1" applyFill="1" applyBorder="1" applyAlignment="1">
      <alignment horizontal="left" vertical="center" wrapText="1"/>
    </xf>
    <xf numFmtId="183" fontId="20" fillId="7" borderId="1" xfId="0" applyNumberFormat="1" applyFont="1" applyFill="1" applyBorder="1" applyAlignment="1">
      <alignment horizontal="right" vertical="center" wrapText="1"/>
    </xf>
    <xf numFmtId="4" fontId="20" fillId="6" borderId="1" xfId="0" applyNumberFormat="1" applyFont="1" applyFill="1" applyBorder="1" applyAlignment="1">
      <alignment horizontal="right" vertical="center" wrapText="1"/>
    </xf>
    <xf numFmtId="0" fontId="21" fillId="6" borderId="1" xfId="0" applyFont="1" applyFill="1" applyBorder="1" applyAlignment="1">
      <alignment horizontal="center" vertical="center" wrapText="1"/>
    </xf>
    <xf numFmtId="173" fontId="20" fillId="6" borderId="1" xfId="0" applyNumberFormat="1" applyFont="1" applyFill="1" applyBorder="1" applyAlignment="1">
      <alignment horizontal="right" vertical="center" wrapText="1"/>
    </xf>
    <xf numFmtId="0" fontId="20" fillId="7" borderId="1" xfId="0" applyFont="1" applyFill="1" applyBorder="1" applyAlignment="1">
      <alignment horizontal="center" vertical="center" wrapText="1"/>
    </xf>
    <xf numFmtId="0" fontId="20" fillId="6" borderId="1" xfId="0" applyFont="1" applyFill="1" applyBorder="1" applyAlignment="1">
      <alignment horizontal="left" vertical="center" wrapText="1"/>
    </xf>
    <xf numFmtId="3" fontId="20" fillId="6" borderId="1" xfId="0" applyNumberFormat="1" applyFont="1" applyFill="1" applyBorder="1" applyAlignment="1">
      <alignment horizontal="right" vertical="center" wrapText="1"/>
    </xf>
    <xf numFmtId="166" fontId="20" fillId="7" borderId="1" xfId="0" applyNumberFormat="1" applyFont="1" applyFill="1" applyBorder="1" applyAlignment="1">
      <alignment horizontal="right" vertical="center" wrapText="1"/>
    </xf>
    <xf numFmtId="0" fontId="20" fillId="6" borderId="1" xfId="0" applyFont="1" applyFill="1" applyBorder="1" applyAlignment="1">
      <alignment horizontal="center" vertical="center" wrapText="1"/>
    </xf>
    <xf numFmtId="164" fontId="20" fillId="6" borderId="1" xfId="0" applyNumberFormat="1" applyFont="1" applyFill="1" applyBorder="1" applyAlignment="1">
      <alignment horizontal="right" vertical="center" wrapText="1"/>
    </xf>
    <xf numFmtId="166" fontId="20" fillId="6" borderId="1" xfId="0" applyNumberFormat="1" applyFont="1" applyFill="1" applyBorder="1" applyAlignment="1">
      <alignment horizontal="right" vertical="center" wrapText="1"/>
    </xf>
    <xf numFmtId="168" fontId="20" fillId="6" borderId="1" xfId="0" applyNumberFormat="1" applyFont="1" applyFill="1" applyBorder="1" applyAlignment="1">
      <alignment horizontal="right" vertical="center" wrapText="1"/>
    </xf>
    <xf numFmtId="181" fontId="20" fillId="6" borderId="1" xfId="0" applyNumberFormat="1" applyFont="1" applyFill="1" applyBorder="1" applyAlignment="1">
      <alignment horizontal="right" vertical="center" wrapText="1"/>
    </xf>
    <xf numFmtId="40" fontId="20" fillId="6" borderId="1" xfId="0" applyNumberFormat="1" applyFont="1" applyFill="1" applyBorder="1" applyAlignment="1">
      <alignment horizontal="right" vertical="center" wrapText="1"/>
    </xf>
    <xf numFmtId="183" fontId="20" fillId="6" borderId="1" xfId="0" applyNumberFormat="1" applyFont="1" applyFill="1" applyBorder="1" applyAlignment="1">
      <alignment horizontal="left"/>
    </xf>
    <xf numFmtId="0" fontId="18" fillId="3" borderId="26" xfId="0" applyFont="1" applyFill="1" applyBorder="1" applyAlignment="1">
      <alignment horizontal="left" vertical="center" wrapText="1"/>
    </xf>
    <xf numFmtId="166" fontId="18" fillId="3" borderId="26" xfId="0" applyNumberFormat="1" applyFont="1" applyFill="1" applyBorder="1" applyAlignment="1">
      <alignment horizontal="right" vertical="center" wrapText="1"/>
    </xf>
    <xf numFmtId="4" fontId="18" fillId="3" borderId="26" xfId="0" applyNumberFormat="1" applyFont="1" applyFill="1" applyBorder="1" applyAlignment="1">
      <alignment horizontal="right" vertical="center"/>
    </xf>
    <xf numFmtId="183" fontId="18" fillId="3" borderId="26" xfId="0" applyNumberFormat="1" applyFont="1" applyFill="1" applyBorder="1" applyAlignment="1">
      <alignment horizontal="right" vertical="center" wrapText="1"/>
    </xf>
    <xf numFmtId="173" fontId="18" fillId="3" borderId="26" xfId="0" applyNumberFormat="1" applyFont="1" applyFill="1" applyBorder="1" applyAlignment="1">
      <alignment horizontal="right" vertical="center"/>
    </xf>
    <xf numFmtId="184" fontId="20" fillId="6" borderId="1" xfId="0" applyNumberFormat="1" applyFont="1" applyFill="1" applyBorder="1" applyAlignment="1">
      <alignment horizontal="right"/>
    </xf>
    <xf numFmtId="0" fontId="64" fillId="0" borderId="0" xfId="0" applyFont="1"/>
    <xf numFmtId="181" fontId="31" fillId="0" borderId="1" xfId="0" applyNumberFormat="1" applyFont="1" applyBorder="1" applyAlignment="1">
      <alignment horizontal="right" vertical="center"/>
    </xf>
    <xf numFmtId="0" fontId="23" fillId="2" borderId="3" xfId="0" applyFont="1" applyFill="1" applyBorder="1" applyAlignment="1">
      <alignment horizontal="center" vertical="center"/>
    </xf>
    <xf numFmtId="0" fontId="24" fillId="3" borderId="3" xfId="0" applyFont="1" applyFill="1" applyBorder="1" applyAlignment="1">
      <alignment horizontal="center" vertical="center" wrapText="1"/>
    </xf>
    <xf numFmtId="0" fontId="25" fillId="5" borderId="3" xfId="0" applyFont="1" applyFill="1" applyBorder="1" applyAlignment="1">
      <alignment horizontal="center" vertical="center" wrapText="1"/>
    </xf>
    <xf numFmtId="0" fontId="26" fillId="6" borderId="3" xfId="0" applyFont="1" applyFill="1" applyBorder="1"/>
    <xf numFmtId="0" fontId="28" fillId="2" borderId="0" xfId="0" applyFont="1" applyFill="1" applyAlignment="1">
      <alignment horizontal="left" vertical="center"/>
    </xf>
    <xf numFmtId="0" fontId="29" fillId="3" borderId="0" xfId="0" applyFont="1" applyFill="1" applyAlignment="1">
      <alignment horizontal="left" vertical="center" wrapText="1"/>
    </xf>
    <xf numFmtId="0" fontId="30" fillId="3" borderId="0" xfId="0" applyFont="1" applyFill="1" applyAlignment="1">
      <alignment horizontal="left" vertical="center" wrapText="1"/>
    </xf>
    <xf numFmtId="0" fontId="27" fillId="0" borderId="0" xfId="0" applyFont="1" applyAlignment="1">
      <alignment horizontal="left" vertical="center" wrapText="1"/>
    </xf>
    <xf numFmtId="0" fontId="0" fillId="0" borderId="0" xfId="0" applyAlignment="1">
      <alignment wrapText="1"/>
    </xf>
    <xf numFmtId="0" fontId="45" fillId="14" borderId="0" xfId="0" applyFont="1" applyFill="1" applyAlignment="1">
      <alignment horizontal="center" vertical="center"/>
    </xf>
    <xf numFmtId="0" fontId="46" fillId="14" borderId="0" xfId="0" applyFont="1" applyFill="1" applyAlignment="1">
      <alignment horizontal="center" vertical="center"/>
    </xf>
    <xf numFmtId="0" fontId="47" fillId="6" borderId="1" xfId="0" applyFont="1" applyFill="1" applyBorder="1" applyAlignment="1">
      <alignment horizontal="left" vertical="center"/>
    </xf>
    <xf numFmtId="14" fontId="47" fillId="6" borderId="1" xfId="0" applyNumberFormat="1" applyFont="1" applyFill="1" applyBorder="1" applyAlignment="1">
      <alignment horizontal="center" vertical="center"/>
    </xf>
    <xf numFmtId="0" fontId="48" fillId="2" borderId="0" xfId="0" applyFont="1" applyFill="1" applyAlignment="1">
      <alignment horizontal="left" vertical="center"/>
    </xf>
    <xf numFmtId="0" fontId="48" fillId="2" borderId="0" xfId="0" applyFont="1" applyFill="1" applyAlignment="1">
      <alignment horizontal="center" vertical="center" wrapText="1"/>
    </xf>
    <xf numFmtId="0" fontId="47" fillId="0" borderId="1" xfId="0" applyFont="1" applyBorder="1" applyAlignment="1">
      <alignment horizontal="left" vertical="center" wrapText="1"/>
    </xf>
    <xf numFmtId="166" fontId="49" fillId="6" borderId="1" xfId="0" applyNumberFormat="1" applyFont="1" applyFill="1" applyBorder="1" applyAlignment="1">
      <alignment horizontal="right" vertical="center"/>
    </xf>
    <xf numFmtId="172" fontId="49" fillId="6" borderId="1" xfId="0" applyNumberFormat="1" applyFont="1" applyFill="1" applyBorder="1" applyAlignment="1">
      <alignment horizontal="right" vertical="center"/>
    </xf>
    <xf numFmtId="176" fontId="49" fillId="6" borderId="1" xfId="0" applyNumberFormat="1" applyFont="1" applyFill="1" applyBorder="1" applyAlignment="1">
      <alignment horizontal="right" vertical="center"/>
    </xf>
    <xf numFmtId="177" fontId="49" fillId="6" borderId="1" xfId="0" applyNumberFormat="1" applyFont="1" applyFill="1" applyBorder="1" applyAlignment="1">
      <alignment horizontal="right" vertical="center"/>
    </xf>
    <xf numFmtId="169" fontId="49" fillId="6" borderId="1" xfId="0" applyNumberFormat="1" applyFont="1" applyFill="1" applyBorder="1" applyAlignment="1">
      <alignment horizontal="right" vertical="center"/>
    </xf>
    <xf numFmtId="178" fontId="49" fillId="6" borderId="1" xfId="0" applyNumberFormat="1" applyFont="1" applyFill="1" applyBorder="1" applyAlignment="1">
      <alignment horizontal="right" vertical="center"/>
    </xf>
    <xf numFmtId="0" fontId="31" fillId="0" borderId="0" xfId="0" applyFont="1" applyAlignment="1">
      <alignment horizontal="left" vertical="top" wrapText="1"/>
    </xf>
    <xf numFmtId="0" fontId="49" fillId="0" borderId="0" xfId="0" applyFont="1" applyAlignment="1">
      <alignment horizontal="center" vertical="center"/>
    </xf>
    <xf numFmtId="0" fontId="31" fillId="0" borderId="0" xfId="0" applyFont="1" applyAlignment="1">
      <alignment horizontal="center" vertical="center"/>
    </xf>
    <xf numFmtId="0" fontId="35" fillId="6" borderId="1" xfId="0" applyFont="1" applyFill="1" applyBorder="1" applyAlignment="1">
      <alignment horizontal="left" vertical="center"/>
    </xf>
    <xf numFmtId="0" fontId="31" fillId="0" borderId="0" xfId="0" applyFont="1" applyAlignment="1">
      <alignment horizontal="left" vertical="center" wrapText="1"/>
    </xf>
    <xf numFmtId="176" fontId="49" fillId="7" borderId="17" xfId="0" applyNumberFormat="1" applyFont="1" applyFill="1" applyBorder="1" applyAlignment="1">
      <alignment horizontal="right" vertical="center"/>
    </xf>
    <xf numFmtId="0" fontId="50" fillId="2" borderId="0" xfId="0" applyFont="1" applyFill="1" applyAlignment="1">
      <alignment horizontal="center"/>
    </xf>
    <xf numFmtId="0" fontId="0" fillId="0" borderId="0" xfId="0" applyAlignment="1">
      <alignment horizontal="left"/>
    </xf>
    <xf numFmtId="0" fontId="0" fillId="0" borderId="0" xfId="0"/>
    <xf numFmtId="0" fontId="29" fillId="3" borderId="0" xfId="0" applyFont="1" applyFill="1" applyAlignment="1">
      <alignment horizontal="left" vertical="center"/>
    </xf>
    <xf numFmtId="0" fontId="51" fillId="2" borderId="0" xfId="0" applyFont="1" applyFill="1" applyAlignment="1">
      <alignment horizontal="center"/>
    </xf>
    <xf numFmtId="0" fontId="53" fillId="14" borderId="0" xfId="0" applyFont="1" applyFill="1" applyAlignment="1">
      <alignment horizontal="center" vertical="center"/>
    </xf>
    <xf numFmtId="0" fontId="54" fillId="14" borderId="0" xfId="0" applyFont="1" applyFill="1" applyAlignment="1">
      <alignment horizontal="center" vertical="center"/>
    </xf>
    <xf numFmtId="0" fontId="55" fillId="0" borderId="0" xfId="0" applyFont="1" applyAlignment="1">
      <alignment horizontal="center" vertical="center"/>
    </xf>
    <xf numFmtId="0" fontId="47" fillId="0" borderId="1" xfId="0" applyFont="1" applyBorder="1" applyAlignment="1">
      <alignment horizontal="left" vertical="center"/>
    </xf>
    <xf numFmtId="167" fontId="49" fillId="6" borderId="1" xfId="0" applyNumberFormat="1" applyFont="1" applyFill="1" applyBorder="1" applyAlignment="1">
      <alignment horizontal="right" vertical="center"/>
    </xf>
    <xf numFmtId="175" fontId="49" fillId="6" borderId="1" xfId="0" applyNumberFormat="1" applyFont="1" applyFill="1" applyBorder="1" applyAlignment="1">
      <alignment horizontal="right" vertical="center"/>
    </xf>
    <xf numFmtId="179" fontId="49" fillId="6" borderId="1" xfId="0" applyNumberFormat="1" applyFont="1" applyFill="1" applyBorder="1" applyAlignment="1">
      <alignment horizontal="right" vertical="center"/>
    </xf>
    <xf numFmtId="0" fontId="56" fillId="0" borderId="1" xfId="0" applyFont="1" applyBorder="1" applyAlignment="1">
      <alignment horizontal="left" vertical="center"/>
    </xf>
    <xf numFmtId="169" fontId="57" fillId="16" borderId="1" xfId="0" applyNumberFormat="1" applyFont="1" applyFill="1" applyBorder="1" applyAlignment="1">
      <alignment horizontal="right" vertical="center"/>
    </xf>
    <xf numFmtId="0" fontId="47" fillId="0" borderId="0" xfId="0" applyFont="1" applyAlignment="1">
      <alignment horizontal="left" vertical="center"/>
    </xf>
    <xf numFmtId="167" fontId="49" fillId="6" borderId="20" xfId="0" applyNumberFormat="1" applyFont="1" applyFill="1" applyBorder="1" applyAlignment="1">
      <alignment horizontal="right" vertical="center"/>
    </xf>
    <xf numFmtId="167" fontId="57" fillId="16" borderId="1" xfId="0" applyNumberFormat="1" applyFont="1" applyFill="1" applyBorder="1" applyAlignment="1">
      <alignment horizontal="right" vertical="center"/>
    </xf>
    <xf numFmtId="10" fontId="49" fillId="6" borderId="1" xfId="0" applyNumberFormat="1" applyFont="1" applyFill="1" applyBorder="1" applyAlignment="1">
      <alignment horizontal="right" vertical="center"/>
    </xf>
    <xf numFmtId="1" fontId="49" fillId="6" borderId="1" xfId="0" applyNumberFormat="1" applyFont="1" applyFill="1" applyBorder="1" applyAlignment="1">
      <alignment horizontal="right" vertical="center"/>
    </xf>
    <xf numFmtId="166" fontId="49" fillId="17" borderId="1" xfId="0" applyNumberFormat="1" applyFont="1" applyFill="1" applyBorder="1" applyAlignment="1">
      <alignment horizontal="right" vertical="center"/>
    </xf>
    <xf numFmtId="166" fontId="49" fillId="8" borderId="1" xfId="0" applyNumberFormat="1" applyFont="1" applyFill="1" applyBorder="1" applyAlignment="1">
      <alignment horizontal="right" vertical="center"/>
    </xf>
    <xf numFmtId="167" fontId="49" fillId="8" borderId="1" xfId="0" applyNumberFormat="1" applyFont="1" applyFill="1" applyBorder="1" applyAlignment="1">
      <alignment horizontal="right" vertical="center"/>
    </xf>
    <xf numFmtId="175" fontId="49" fillId="8" borderId="1" xfId="0" applyNumberFormat="1" applyFont="1" applyFill="1" applyBorder="1" applyAlignment="1">
      <alignment horizontal="right" vertical="center"/>
    </xf>
    <xf numFmtId="169" fontId="57" fillId="6" borderId="1" xfId="0" applyNumberFormat="1" applyFont="1" applyFill="1" applyBorder="1" applyAlignment="1">
      <alignment horizontal="center" vertical="center"/>
    </xf>
    <xf numFmtId="1" fontId="57" fillId="6" borderId="1" xfId="0" applyNumberFormat="1" applyFont="1" applyFill="1" applyBorder="1" applyAlignment="1">
      <alignment horizontal="center" vertical="center"/>
    </xf>
    <xf numFmtId="0" fontId="23" fillId="2" borderId="0" xfId="0" applyFont="1" applyFill="1" applyAlignment="1">
      <alignment vertical="center" wrapText="1"/>
    </xf>
    <xf numFmtId="0" fontId="59" fillId="0" borderId="0" xfId="0" applyFont="1" applyAlignment="1">
      <alignment vertical="center" wrapText="1"/>
    </xf>
    <xf numFmtId="0" fontId="30" fillId="3" borderId="1" xfId="0" applyFont="1" applyFill="1" applyBorder="1" applyAlignment="1">
      <alignment horizontal="left" vertical="center" wrapText="1"/>
    </xf>
    <xf numFmtId="182" fontId="44" fillId="0" borderId="0" xfId="0" applyNumberFormat="1" applyFont="1"/>
    <xf numFmtId="164" fontId="49" fillId="8" borderId="1" xfId="0" applyNumberFormat="1" applyFont="1" applyFill="1" applyBorder="1" applyAlignment="1">
      <alignment horizontal="right" vertical="center"/>
    </xf>
    <xf numFmtId="0" fontId="17" fillId="2" borderId="7" xfId="0" applyFont="1" applyFill="1" applyBorder="1" applyAlignment="1">
      <alignment horizontal="left" vertical="center" wrapText="1"/>
    </xf>
    <xf numFmtId="0" fontId="17" fillId="2" borderId="0" xfId="0" applyFont="1" applyFill="1" applyAlignment="1">
      <alignment horizontal="center" vertical="center" wrapText="1"/>
    </xf>
    <xf numFmtId="0" fontId="62" fillId="3" borderId="7" xfId="0" applyFont="1" applyFill="1" applyBorder="1" applyAlignment="1">
      <alignment horizontal="left" vertical="center" wrapText="1"/>
    </xf>
    <xf numFmtId="0" fontId="17" fillId="2" borderId="21" xfId="0" applyFont="1" applyFill="1" applyBorder="1" applyAlignment="1">
      <alignment horizontal="center" vertical="center" wrapText="1"/>
    </xf>
    <xf numFmtId="0" fontId="63" fillId="18" borderId="0" xfId="0" applyFont="1" applyFill="1" applyAlignment="1">
      <alignment vertical="top" wrapText="1"/>
    </xf>
    <xf numFmtId="167" fontId="19" fillId="7" borderId="5" xfId="0" applyNumberFormat="1" applyFont="1" applyFill="1" applyBorder="1" applyAlignment="1">
      <alignment horizontal="left" vertical="center"/>
    </xf>
    <xf numFmtId="166" fontId="19" fillId="7" borderId="5" xfId="0" applyNumberFormat="1" applyFont="1" applyFill="1" applyBorder="1" applyAlignment="1">
      <alignment horizontal="left" vertical="center"/>
    </xf>
    <xf numFmtId="187" fontId="19" fillId="7" borderId="5" xfId="0" applyNumberFormat="1" applyFont="1" applyFill="1" applyBorder="1" applyAlignment="1">
      <alignment horizontal="left" vertical="center"/>
    </xf>
    <xf numFmtId="3" fontId="19" fillId="7" borderId="5" xfId="0" applyNumberFormat="1" applyFont="1" applyFill="1" applyBorder="1" applyAlignment="1">
      <alignment horizontal="left" vertical="center"/>
    </xf>
    <xf numFmtId="169" fontId="19" fillId="7" borderId="5" xfId="0" applyNumberFormat="1" applyFont="1" applyFill="1" applyBorder="1" applyAlignment="1">
      <alignment horizontal="left" vertical="center"/>
    </xf>
    <xf numFmtId="187" fontId="31" fillId="11" borderId="1" xfId="0" applyNumberFormat="1" applyFont="1" applyFill="1" applyBorder="1" applyAlignment="1">
      <alignment horizontal="right" vertical="center"/>
    </xf>
    <xf numFmtId="187" fontId="31" fillId="0" borderId="1" xfId="0" applyNumberFormat="1" applyFont="1" applyBorder="1" applyAlignment="1">
      <alignment horizontal="right" vertical="center"/>
    </xf>
  </cellXfs>
  <cellStyles count="2">
    <cellStyle name="Hyperlink 1" xfId="1" xr:uid="{00000000-0005-0000-0000-000006000000}"/>
    <cellStyle name="Normal" xfId="0" builtinId="0"/>
  </cellStyles>
  <dxfs count="8">
    <dxf>
      <font>
        <name val="Arial"/>
        <family val="2"/>
        <charset val="1"/>
      </font>
      <fill>
        <patternFill>
          <bgColor rgb="FFFDE9E7"/>
        </patternFill>
      </fill>
    </dxf>
    <dxf>
      <font>
        <name val="Arial"/>
        <family val="2"/>
        <charset val="1"/>
      </font>
      <fill>
        <patternFill>
          <bgColor rgb="FFFCE4D6"/>
        </patternFill>
      </fill>
    </dxf>
    <dxf>
      <font>
        <name val="Arial"/>
        <family val="2"/>
        <charset val="1"/>
      </font>
      <fill>
        <patternFill>
          <bgColor rgb="FFD9E1F2"/>
        </patternFill>
      </fill>
    </dxf>
    <dxf>
      <font>
        <name val="Arial"/>
        <family val="2"/>
        <charset val="1"/>
      </font>
      <fill>
        <patternFill>
          <bgColor rgb="FFE2F0D9"/>
        </patternFill>
      </fill>
    </dxf>
    <dxf>
      <fill>
        <patternFill>
          <bgColor rgb="FFFFC7CE"/>
        </patternFill>
      </fill>
    </dxf>
    <dxf>
      <fill>
        <patternFill>
          <bgColor rgb="FFC6EFCE"/>
        </patternFill>
      </fill>
    </dxf>
    <dxf>
      <fill>
        <patternFill>
          <bgColor rgb="FFFFC7CE"/>
        </patternFill>
      </fill>
    </dxf>
    <dxf>
      <fill>
        <patternFill>
          <bgColor rgb="FFC6EFCE"/>
        </patternFill>
      </fill>
    </dxf>
  </dxfs>
  <tableStyles count="0" defaultTableStyle="TableStyleMedium2" defaultPivotStyle="PivotStyleLight16"/>
  <colors>
    <indexedColors>
      <rgbColor rgb="FF000000"/>
      <rgbColor rgb="FFFFFFFF"/>
      <rgbColor rgb="FFFF0000"/>
      <rgbColor rgb="FFEDEDED"/>
      <rgbColor rgb="FF0000FF"/>
      <rgbColor rgb="FFFFFF00"/>
      <rgbColor rgb="FFFF00FF"/>
      <rgbColor rgb="FFD9E2EB"/>
      <rgbColor rgb="FF800020"/>
      <rgbColor rgb="FF008000"/>
      <rgbColor rgb="FF000080"/>
      <rgbColor rgb="FFD9D9D9"/>
      <rgbColor rgb="FF800080"/>
      <rgbColor rgb="FF215968"/>
      <rgbColor rgb="FFB7B7B7"/>
      <rgbColor rgb="FF808080"/>
      <rgbColor rgb="FFA6A6A6"/>
      <rgbColor rgb="FF604A7B"/>
      <rgbColor rgb="FFF8F1D1"/>
      <rgbColor rgb="FFDDEBF7"/>
      <rgbColor rgb="FF660066"/>
      <rgbColor rgb="FFD99694"/>
      <rgbColor rgb="FF0066CC"/>
      <rgbColor rgb="FFC6D9F1"/>
      <rgbColor rgb="FF000080"/>
      <rgbColor rgb="FFFF00FF"/>
      <rgbColor rgb="FFFCE4D6"/>
      <rgbColor rgb="FFDCE6F2"/>
      <rgbColor rgb="FF800080"/>
      <rgbColor rgb="FF5C0018"/>
      <rgbColor rgb="FFF3F5F7"/>
      <rgbColor rgb="FF0000FF"/>
      <rgbColor rgb="FFD9E1F2"/>
      <rgbColor rgb="FFE2F0D9"/>
      <rgbColor rgb="FFC6EFCE"/>
      <rgbColor rgb="FFFDEADA"/>
      <rgbColor rgb="FF8EB4E3"/>
      <rgbColor rgb="FFFFC7CE"/>
      <rgbColor rgb="FFB3A2C7"/>
      <rgbColor rgb="FFFAC090"/>
      <rgbColor rgb="FF558ED5"/>
      <rgbColor rgb="FFB7DEE8"/>
      <rgbColor rgb="FFC4BD97"/>
      <rgbColor rgb="FFD0CECE"/>
      <rgbColor rgb="FFD4A017"/>
      <rgbColor rgb="FFFDE9E7"/>
      <rgbColor rgb="FF666666"/>
      <rgbColor rgb="FF898989"/>
      <rgbColor rgb="FF12324A"/>
      <rgbColor rgb="FF00B050"/>
      <rgbColor rgb="FF111111"/>
      <rgbColor rgb="FF555555"/>
      <rgbColor rgb="FF993300"/>
      <rgbColor rgb="FFF2F2F2"/>
      <rgbColor rgb="FF173F6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678240</xdr:colOff>
      <xdr:row>3</xdr:row>
      <xdr:rowOff>129600</xdr:rowOff>
    </xdr:from>
    <xdr:to>
      <xdr:col>5</xdr:col>
      <xdr:colOff>484560</xdr:colOff>
      <xdr:row>10</xdr:row>
      <xdr:rowOff>124200</xdr:rowOff>
    </xdr:to>
    <xdr:pic>
      <xdr:nvPicPr>
        <xdr:cNvPr id="2" name="/xl/media/image1.png">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a:stretch/>
      </xdr:blipFill>
      <xdr:spPr>
        <a:xfrm>
          <a:off x="5753160" y="567720"/>
          <a:ext cx="2625840" cy="66132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800280</xdr:colOff>
      <xdr:row>7</xdr:row>
      <xdr:rowOff>99000</xdr:rowOff>
    </xdr:from>
    <xdr:to>
      <xdr:col>8</xdr:col>
      <xdr:colOff>63720</xdr:colOff>
      <xdr:row>14</xdr:row>
      <xdr:rowOff>48240</xdr:rowOff>
    </xdr:to>
    <xdr:pic>
      <xdr:nvPicPr>
        <xdr:cNvPr id="2" name="/xl/media/image2.png">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a:stretch/>
      </xdr:blipFill>
      <xdr:spPr>
        <a:xfrm>
          <a:off x="6901200" y="1165680"/>
          <a:ext cx="2787840" cy="121608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502920</xdr:colOff>
      <xdr:row>6</xdr:row>
      <xdr:rowOff>175320</xdr:rowOff>
    </xdr:from>
    <xdr:to>
      <xdr:col>6</xdr:col>
      <xdr:colOff>880920</xdr:colOff>
      <xdr:row>12</xdr:row>
      <xdr:rowOff>147600</xdr:rowOff>
    </xdr:to>
    <xdr:pic>
      <xdr:nvPicPr>
        <xdr:cNvPr id="2" name="/xl/media/image3.png">
          <a:extLst>
            <a:ext uri="{FF2B5EF4-FFF2-40B4-BE49-F238E27FC236}">
              <a16:creationId xmlns:a16="http://schemas.microsoft.com/office/drawing/2014/main" id="{00000000-0008-0000-0600-000002000000}"/>
            </a:ext>
          </a:extLst>
        </xdr:cNvPr>
        <xdr:cNvPicPr/>
      </xdr:nvPicPr>
      <xdr:blipFill>
        <a:blip xmlns:r="http://schemas.openxmlformats.org/officeDocument/2006/relationships" r:embed="rId1"/>
        <a:stretch/>
      </xdr:blipFill>
      <xdr:spPr>
        <a:xfrm>
          <a:off x="6454800" y="1308960"/>
          <a:ext cx="2492640" cy="1058040"/>
        </a:xfrm>
        <a:prstGeom prst="rect">
          <a:avLst/>
        </a:prstGeom>
        <a:noFill/>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1028880</xdr:colOff>
      <xdr:row>4</xdr:row>
      <xdr:rowOff>23040</xdr:rowOff>
    </xdr:from>
    <xdr:to>
      <xdr:col>4</xdr:col>
      <xdr:colOff>2370600</xdr:colOff>
      <xdr:row>8</xdr:row>
      <xdr:rowOff>147240</xdr:rowOff>
    </xdr:to>
    <xdr:pic>
      <xdr:nvPicPr>
        <xdr:cNvPr id="3" name="/xl/media/image4.png">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a:stretch/>
      </xdr:blipFill>
      <xdr:spPr>
        <a:xfrm>
          <a:off x="5015520" y="794520"/>
          <a:ext cx="2469240" cy="848160"/>
        </a:xfrm>
        <a:prstGeom prst="rect">
          <a:avLst/>
        </a:prstGeom>
        <a:noFill/>
        <a:ln w="0">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663120</xdr:colOff>
      <xdr:row>6</xdr:row>
      <xdr:rowOff>175320</xdr:rowOff>
    </xdr:from>
    <xdr:to>
      <xdr:col>4</xdr:col>
      <xdr:colOff>505080</xdr:colOff>
      <xdr:row>12</xdr:row>
      <xdr:rowOff>131760</xdr:rowOff>
    </xdr:to>
    <xdr:pic>
      <xdr:nvPicPr>
        <xdr:cNvPr id="4" name="/xl/media/image5.png">
          <a:extLst>
            <a:ext uri="{FF2B5EF4-FFF2-40B4-BE49-F238E27FC236}">
              <a16:creationId xmlns:a16="http://schemas.microsoft.com/office/drawing/2014/main" id="{00000000-0008-0000-1000-000004000000}"/>
            </a:ext>
          </a:extLst>
        </xdr:cNvPr>
        <xdr:cNvPicPr/>
      </xdr:nvPicPr>
      <xdr:blipFill>
        <a:blip xmlns:r="http://schemas.openxmlformats.org/officeDocument/2006/relationships" r:embed="rId1"/>
        <a:stretch/>
      </xdr:blipFill>
      <xdr:spPr>
        <a:xfrm>
          <a:off x="4892400" y="1280160"/>
          <a:ext cx="3310920" cy="861480"/>
        </a:xfrm>
        <a:prstGeom prst="rect">
          <a:avLst/>
        </a:prstGeom>
        <a:noFill/>
        <a:ln w="0">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1028880</xdr:colOff>
      <xdr:row>3</xdr:row>
      <xdr:rowOff>23040</xdr:rowOff>
    </xdr:from>
    <xdr:to>
      <xdr:col>5</xdr:col>
      <xdr:colOff>105840</xdr:colOff>
      <xdr:row>5</xdr:row>
      <xdr:rowOff>158400</xdr:rowOff>
    </xdr:to>
    <xdr:pic>
      <xdr:nvPicPr>
        <xdr:cNvPr id="5" name="/xl/media/image6.png">
          <a:extLst>
            <a:ext uri="{FF2B5EF4-FFF2-40B4-BE49-F238E27FC236}">
              <a16:creationId xmlns:a16="http://schemas.microsoft.com/office/drawing/2014/main" id="{00000000-0008-0000-1200-000005000000}"/>
            </a:ext>
          </a:extLst>
        </xdr:cNvPr>
        <xdr:cNvPicPr/>
      </xdr:nvPicPr>
      <xdr:blipFill>
        <a:blip xmlns:r="http://schemas.openxmlformats.org/officeDocument/2006/relationships" r:embed="rId1"/>
        <a:stretch/>
      </xdr:blipFill>
      <xdr:spPr>
        <a:xfrm>
          <a:off x="3425400" y="537480"/>
          <a:ext cx="1755360" cy="478080"/>
        </a:xfrm>
        <a:prstGeom prst="rect">
          <a:avLst/>
        </a:prstGeom>
        <a:noFill/>
        <a:ln w="0">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358200</xdr:colOff>
      <xdr:row>4</xdr:row>
      <xdr:rowOff>85680</xdr:rowOff>
    </xdr:from>
    <xdr:to>
      <xdr:col>4</xdr:col>
      <xdr:colOff>560880</xdr:colOff>
      <xdr:row>10</xdr:row>
      <xdr:rowOff>420</xdr:rowOff>
    </xdr:to>
    <xdr:pic>
      <xdr:nvPicPr>
        <xdr:cNvPr id="6" name="/xl/media/image7.png">
          <a:extLst>
            <a:ext uri="{FF2B5EF4-FFF2-40B4-BE49-F238E27FC236}">
              <a16:creationId xmlns:a16="http://schemas.microsoft.com/office/drawing/2014/main" id="{00000000-0008-0000-1500-000006000000}"/>
            </a:ext>
          </a:extLst>
        </xdr:cNvPr>
        <xdr:cNvPicPr/>
      </xdr:nvPicPr>
      <xdr:blipFill>
        <a:blip xmlns:r="http://schemas.openxmlformats.org/officeDocument/2006/relationships" r:embed="rId1"/>
        <a:stretch/>
      </xdr:blipFill>
      <xdr:spPr>
        <a:xfrm>
          <a:off x="6021000" y="876240"/>
          <a:ext cx="2458440" cy="632880"/>
        </a:xfrm>
        <a:prstGeom prst="rect">
          <a:avLst/>
        </a:prstGeom>
        <a:noFill/>
        <a:ln w="0">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1044000</xdr:colOff>
      <xdr:row>5</xdr:row>
      <xdr:rowOff>99000</xdr:rowOff>
    </xdr:from>
    <xdr:to>
      <xdr:col>4</xdr:col>
      <xdr:colOff>2385720</xdr:colOff>
      <xdr:row>11</xdr:row>
      <xdr:rowOff>70920</xdr:rowOff>
    </xdr:to>
    <xdr:pic>
      <xdr:nvPicPr>
        <xdr:cNvPr id="7" name="/xl/media/image8.png">
          <a:extLst>
            <a:ext uri="{FF2B5EF4-FFF2-40B4-BE49-F238E27FC236}">
              <a16:creationId xmlns:a16="http://schemas.microsoft.com/office/drawing/2014/main" id="{00000000-0008-0000-1C00-000007000000}"/>
            </a:ext>
          </a:extLst>
        </xdr:cNvPr>
        <xdr:cNvPicPr/>
      </xdr:nvPicPr>
      <xdr:blipFill>
        <a:blip xmlns:r="http://schemas.openxmlformats.org/officeDocument/2006/relationships" r:embed="rId1"/>
        <a:stretch/>
      </xdr:blipFill>
      <xdr:spPr>
        <a:xfrm>
          <a:off x="4427280" y="813240"/>
          <a:ext cx="2469600" cy="772200"/>
        </a:xfrm>
        <a:prstGeom prst="rect">
          <a:avLst/>
        </a:prstGeom>
        <a:noFill/>
        <a:ln w="0">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716400</xdr:colOff>
      <xdr:row>7</xdr:row>
      <xdr:rowOff>7560</xdr:rowOff>
    </xdr:from>
    <xdr:to>
      <xdr:col>4</xdr:col>
      <xdr:colOff>1071360</xdr:colOff>
      <xdr:row>9</xdr:row>
      <xdr:rowOff>122760</xdr:rowOff>
    </xdr:to>
    <xdr:pic>
      <xdr:nvPicPr>
        <xdr:cNvPr id="8" name="/xl/media/image9.png">
          <a:extLst>
            <a:ext uri="{FF2B5EF4-FFF2-40B4-BE49-F238E27FC236}">
              <a16:creationId xmlns:a16="http://schemas.microsoft.com/office/drawing/2014/main" id="{00000000-0008-0000-1D00-000008000000}"/>
            </a:ext>
          </a:extLst>
        </xdr:cNvPr>
        <xdr:cNvPicPr/>
      </xdr:nvPicPr>
      <xdr:blipFill>
        <a:blip xmlns:r="http://schemas.openxmlformats.org/officeDocument/2006/relationships" r:embed="rId1"/>
        <a:stretch/>
      </xdr:blipFill>
      <xdr:spPr>
        <a:xfrm>
          <a:off x="6934320" y="1112400"/>
          <a:ext cx="2469600" cy="477360"/>
        </a:xfrm>
        <a:prstGeom prst="rect">
          <a:avLst/>
        </a:prstGeom>
        <a:noFill/>
        <a:ln w="0">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114480</xdr:colOff>
      <xdr:row>4</xdr:row>
      <xdr:rowOff>53640</xdr:rowOff>
    </xdr:from>
    <xdr:to>
      <xdr:col>5</xdr:col>
      <xdr:colOff>101880</xdr:colOff>
      <xdr:row>6</xdr:row>
      <xdr:rowOff>61920</xdr:rowOff>
    </xdr:to>
    <xdr:pic>
      <xdr:nvPicPr>
        <xdr:cNvPr id="9" name="/xl/media/image10.png">
          <a:extLst>
            <a:ext uri="{FF2B5EF4-FFF2-40B4-BE49-F238E27FC236}">
              <a16:creationId xmlns:a16="http://schemas.microsoft.com/office/drawing/2014/main" id="{00000000-0008-0000-1E00-000009000000}"/>
            </a:ext>
          </a:extLst>
        </xdr:cNvPr>
        <xdr:cNvPicPr/>
      </xdr:nvPicPr>
      <xdr:blipFill>
        <a:blip xmlns:r="http://schemas.openxmlformats.org/officeDocument/2006/relationships" r:embed="rId1"/>
        <a:stretch/>
      </xdr:blipFill>
      <xdr:spPr>
        <a:xfrm>
          <a:off x="4625640" y="634680"/>
          <a:ext cx="2469600" cy="275040"/>
        </a:xfrm>
        <a:prstGeom prst="rect">
          <a:avLst/>
        </a:prstGeom>
        <a:noFill/>
        <a:ln w="0">
          <a:no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624960</xdr:colOff>
      <xdr:row>15</xdr:row>
      <xdr:rowOff>68760</xdr:rowOff>
    </xdr:from>
    <xdr:to>
      <xdr:col>5</xdr:col>
      <xdr:colOff>568440</xdr:colOff>
      <xdr:row>19</xdr:row>
      <xdr:rowOff>101520</xdr:rowOff>
    </xdr:to>
    <xdr:pic>
      <xdr:nvPicPr>
        <xdr:cNvPr id="10" name="/xl/media/image11.png">
          <a:extLst>
            <a:ext uri="{FF2B5EF4-FFF2-40B4-BE49-F238E27FC236}">
              <a16:creationId xmlns:a16="http://schemas.microsoft.com/office/drawing/2014/main" id="{00000000-0008-0000-1F00-00000A000000}"/>
            </a:ext>
          </a:extLst>
        </xdr:cNvPr>
        <xdr:cNvPicPr/>
      </xdr:nvPicPr>
      <xdr:blipFill>
        <a:blip xmlns:r="http://schemas.openxmlformats.org/officeDocument/2006/relationships" r:embed="rId1"/>
        <a:stretch/>
      </xdr:blipFill>
      <xdr:spPr>
        <a:xfrm>
          <a:off x="4916160" y="2250000"/>
          <a:ext cx="2469600" cy="566280"/>
        </a:xfrm>
        <a:prstGeom prst="rect">
          <a:avLst/>
        </a:prstGeom>
        <a:noFill/>
        <a:ln w="0">
          <a:noFill/>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rainingTable" displayName="TrainingTable" ref="A1:J8" totalsRowShown="0">
  <autoFilter ref="A1:J8" xr:uid="{00000000-0009-0000-0100-000002000000}"/>
  <tableColumns count="10">
    <tableColumn id="1" xr3:uid="{00000000-0010-0000-0000-000001000000}" name="Training Description"/>
    <tableColumn id="2" xr3:uid="{00000000-0010-0000-0000-000002000000}" name="Hours"/>
    <tableColumn id="3" xr3:uid="{00000000-0010-0000-0000-000003000000}" name="Training Wage"/>
    <tableColumn id="4" xr3:uid="{00000000-0010-0000-0000-000004000000}" name="Training Cost Per Hour"/>
    <tableColumn id="5" xr3:uid="{00000000-0010-0000-0000-000005000000}" name="Employees Trained"/>
    <tableColumn id="6" xr3:uid="{00000000-0010-0000-0000-000006000000}" name="Instructor Cost"/>
    <tableColumn id="7" xr3:uid="{00000000-0010-0000-0000-000007000000}" name="Equipment Cost"/>
    <tableColumn id="8" xr3:uid="{00000000-0010-0000-0000-000008000000}" name="Certification Fee"/>
    <tableColumn id="9" xr3:uid="{00000000-0010-0000-0000-000009000000}" name="Travel Cost"/>
    <tableColumn id="10" xr3:uid="{00000000-0010-0000-0000-00000A000000}" name="Edit highlighted assumptions only"/>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EquipmentTable" displayName="EquipmentTable" ref="A1:E6" totalsRowShown="0">
  <autoFilter ref="A1:E6" xr:uid="{00000000-0009-0000-0100-000001000000}"/>
  <tableColumns count="5">
    <tableColumn id="1" xr3:uid="{00000000-0010-0000-0100-000001000000}" name="Item"/>
    <tableColumn id="2" xr3:uid="{00000000-0010-0000-0100-000002000000}" name="Cost Per Unit"/>
    <tableColumn id="3" xr3:uid="{00000000-0010-0000-0100-000003000000}" name="Quantity"/>
    <tableColumn id="4" xr3:uid="{00000000-0010-0000-0100-000004000000}" name="Replacement Cycle (Years)"/>
    <tableColumn id="5" xr3:uid="{00000000-0010-0000-0100-000005000000}" name="Annualized Cost"/>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WorkforceTable" displayName="WorkforceTable" ref="A1:E6" totalsRowShown="0">
  <autoFilter ref="A1:E6" xr:uid="{00000000-0009-0000-0100-000004000000}"/>
  <tableColumns count="5">
    <tableColumn id="1" xr3:uid="{00000000-0010-0000-0200-000001000000}" name="Category"/>
    <tableColumn id="2" xr3:uid="{00000000-0010-0000-0200-000002000000}" name="Days/Hours"/>
    <tableColumn id="3" xr3:uid="{00000000-0010-0000-0200-000003000000}" name="Employees"/>
    <tableColumn id="4" xr3:uid="{00000000-0010-0000-0200-000004000000}" name="Cost Per Hour"/>
    <tableColumn id="5" xr3:uid="{00000000-0010-0000-0200-000005000000}" name="Total Cost"/>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VendorEvalTable" displayName="VendorEvalTable" ref="A4:G8" totalsRowShown="0">
  <autoFilter ref="A4:G8" xr:uid="{00000000-0009-0000-0100-000003000000}"/>
  <tableColumns count="7">
    <tableColumn id="1" xr3:uid="{00000000-0010-0000-0300-000001000000}" name="Vendor / Scenario"/>
    <tableColumn id="2" xr3:uid="{00000000-0010-0000-0300-000002000000}" name="Bid Rate"/>
    <tableColumn id="3" xr3:uid="{00000000-0010-0000-0300-000003000000}" name="Delta vs Gov TCO"/>
    <tableColumn id="4" xr3:uid="{00000000-0010-0000-0300-000004000000}" name="Delta %"/>
    <tableColumn id="5" xr3:uid="{00000000-0010-0000-0300-000005000000}" name="Band"/>
    <tableColumn id="6" xr3:uid="{00000000-0010-0000-0300-000006000000}" name="Recommendation"/>
    <tableColumn id="7" xr3:uid="{00000000-0010-0000-0300-000007000000}" name="Annual Cost"/>
  </tableColumns>
  <tableStyleInfo showFirstColumn="0" showLastColumn="0" showRowStripes="1" showColumnStripes="0"/>
</table>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6350">
          <a:prstDash val="solid"/>
        </a:ln>
        <a:ln w="6350">
          <a:prstDash val="solid"/>
        </a:ln>
        <a:ln w="6350">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33333"/>
  </sheetPr>
  <dimension ref="A1:H29"/>
  <sheetViews>
    <sheetView zoomScaleNormal="100" workbookViewId="0">
      <selection activeCell="K23" sqref="K23"/>
    </sheetView>
  </sheetViews>
  <sheetFormatPr defaultColWidth="8.6640625" defaultRowHeight="12.75" customHeight="1" x14ac:dyDescent="0.25"/>
  <cols>
    <col min="1" max="1" width="28" customWidth="1"/>
    <col min="2" max="2" width="22" customWidth="1"/>
    <col min="3" max="3" width="18" customWidth="1"/>
    <col min="4" max="4" width="20" customWidth="1"/>
    <col min="5" max="5" width="28" customWidth="1"/>
    <col min="6" max="6" width="14" customWidth="1"/>
    <col min="7" max="7" width="28" customWidth="1"/>
    <col min="8" max="8" width="18" customWidth="1"/>
  </cols>
  <sheetData>
    <row r="1" spans="1:8" ht="10.5" customHeight="1" x14ac:dyDescent="0.25">
      <c r="A1" s="4" t="s">
        <v>0</v>
      </c>
      <c r="B1" s="4"/>
      <c r="C1" s="4"/>
      <c r="D1" s="4"/>
      <c r="E1" s="4"/>
      <c r="F1" s="4"/>
      <c r="G1" s="4"/>
      <c r="H1" s="4"/>
    </row>
    <row r="2" spans="1:8" ht="10.5" customHeight="1" x14ac:dyDescent="0.25">
      <c r="A2" s="3" t="s">
        <v>1</v>
      </c>
      <c r="B2" s="3"/>
      <c r="C2" s="3"/>
      <c r="D2" s="3"/>
      <c r="E2" s="3"/>
      <c r="F2" s="3"/>
      <c r="G2" s="3"/>
      <c r="H2" s="3"/>
    </row>
    <row r="3" spans="1:8" ht="10.5" customHeight="1" x14ac:dyDescent="0.25"/>
    <row r="4" spans="1:8" ht="10.5" customHeight="1" x14ac:dyDescent="0.25">
      <c r="A4" s="14" t="s">
        <v>2</v>
      </c>
      <c r="D4" s="14" t="s">
        <v>3</v>
      </c>
      <c r="G4" s="14" t="s">
        <v>4</v>
      </c>
    </row>
    <row r="5" spans="1:8" ht="10.5" customHeight="1" x14ac:dyDescent="0.25">
      <c r="A5" s="15" t="s">
        <v>5</v>
      </c>
      <c r="B5" s="16" t="s">
        <v>6</v>
      </c>
      <c r="D5" s="15" t="s">
        <v>7</v>
      </c>
      <c r="E5" s="17" t="s">
        <v>8</v>
      </c>
      <c r="G5" s="18" t="s">
        <v>9</v>
      </c>
      <c r="H5" s="19">
        <f>Appraisal_Full_Scope_Report!F15</f>
        <v>17472</v>
      </c>
    </row>
    <row r="6" spans="1:8" ht="10.5" customHeight="1" x14ac:dyDescent="0.25">
      <c r="A6" s="15" t="s">
        <v>10</v>
      </c>
      <c r="B6" s="16" t="s">
        <v>11</v>
      </c>
      <c r="D6" s="15" t="s">
        <v>12</v>
      </c>
      <c r="E6" s="20" t="s">
        <v>13</v>
      </c>
      <c r="G6" s="18" t="s">
        <v>1002</v>
      </c>
      <c r="H6" s="21">
        <f>Appraisal_Full_Scope_Report!F8</f>
        <v>129.97639002857142</v>
      </c>
    </row>
    <row r="7" spans="1:8" ht="10.5" customHeight="1" x14ac:dyDescent="0.25">
      <c r="A7" s="15" t="s">
        <v>15</v>
      </c>
      <c r="B7" s="16" t="s">
        <v>16</v>
      </c>
      <c r="D7" s="15" t="s">
        <v>17</v>
      </c>
      <c r="E7" s="15" t="s">
        <v>18</v>
      </c>
      <c r="G7" s="18" t="s">
        <v>19</v>
      </c>
      <c r="H7" s="21">
        <f>Appraisal_Full_Scope_Report!H8</f>
        <v>90.983473019999991</v>
      </c>
    </row>
    <row r="8" spans="1:8" ht="10.5" customHeight="1" x14ac:dyDescent="0.25">
      <c r="A8" s="15" t="s">
        <v>20</v>
      </c>
      <c r="B8" s="16" t="s">
        <v>21</v>
      </c>
      <c r="G8" s="18" t="s">
        <v>22</v>
      </c>
      <c r="H8" s="22">
        <f>Appraisal_Full_Scope_Report!H20</f>
        <v>681284.24597376003</v>
      </c>
    </row>
    <row r="9" spans="1:8" ht="10.5" customHeight="1" x14ac:dyDescent="0.25">
      <c r="A9" s="15" t="s">
        <v>23</v>
      </c>
      <c r="B9" s="16" t="s">
        <v>24</v>
      </c>
    </row>
    <row r="10" spans="1:8" ht="10.5" customHeight="1" x14ac:dyDescent="0.25">
      <c r="A10" s="15" t="s">
        <v>25</v>
      </c>
      <c r="B10" s="16" t="s">
        <v>26</v>
      </c>
      <c r="G10" s="14" t="s">
        <v>27</v>
      </c>
    </row>
    <row r="11" spans="1:8" ht="10.5" customHeight="1" x14ac:dyDescent="0.25">
      <c r="A11" s="15" t="s">
        <v>28</v>
      </c>
      <c r="B11" s="16" t="s">
        <v>29</v>
      </c>
      <c r="G11" s="23" t="s">
        <v>30</v>
      </c>
    </row>
    <row r="12" spans="1:8" ht="10.5" customHeight="1" x14ac:dyDescent="0.25">
      <c r="A12" s="24" t="s">
        <v>31</v>
      </c>
      <c r="B12" s="24" t="s">
        <v>32</v>
      </c>
      <c r="G12" s="23" t="s">
        <v>33</v>
      </c>
    </row>
    <row r="13" spans="1:8" ht="10.5" customHeight="1" x14ac:dyDescent="0.25">
      <c r="A13" s="24" t="s">
        <v>34</v>
      </c>
      <c r="B13" s="24" t="s">
        <v>35</v>
      </c>
      <c r="G13" s="23" t="s">
        <v>36</v>
      </c>
    </row>
    <row r="14" spans="1:8" ht="10.5" customHeight="1" x14ac:dyDescent="0.25">
      <c r="G14" s="23" t="s">
        <v>37</v>
      </c>
    </row>
    <row r="15" spans="1:8" ht="10.5" customHeight="1" x14ac:dyDescent="0.3">
      <c r="A15" s="25" t="s">
        <v>38</v>
      </c>
      <c r="G15" s="23" t="s">
        <v>39</v>
      </c>
    </row>
    <row r="16" spans="1:8" ht="10.5" customHeight="1" x14ac:dyDescent="0.25">
      <c r="A16" s="2" t="s">
        <v>40</v>
      </c>
      <c r="B16" s="2"/>
      <c r="C16" s="2"/>
      <c r="D16" s="2"/>
      <c r="E16" s="2" t="s">
        <v>41</v>
      </c>
      <c r="F16" s="2"/>
      <c r="G16" s="2"/>
      <c r="H16" s="2"/>
    </row>
    <row r="17" spans="1:8" ht="10.5" customHeight="1" x14ac:dyDescent="0.25">
      <c r="A17" s="2"/>
      <c r="B17" s="2"/>
      <c r="C17" s="2"/>
      <c r="D17" s="2"/>
      <c r="E17" s="2"/>
      <c r="F17" s="2"/>
      <c r="G17" s="2"/>
      <c r="H17" s="2"/>
    </row>
    <row r="18" spans="1:8" ht="10.5" customHeight="1" x14ac:dyDescent="0.25">
      <c r="A18" s="2"/>
      <c r="B18" s="2"/>
      <c r="C18" s="2"/>
      <c r="D18" s="2"/>
      <c r="E18" s="2"/>
      <c r="F18" s="2"/>
      <c r="G18" s="2"/>
      <c r="H18" s="2"/>
    </row>
    <row r="19" spans="1:8" ht="10.5" customHeight="1" x14ac:dyDescent="0.3">
      <c r="A19" s="26" t="s">
        <v>42</v>
      </c>
      <c r="G19" s="23" t="s">
        <v>43</v>
      </c>
    </row>
    <row r="20" spans="1:8" ht="10.5" customHeight="1" x14ac:dyDescent="0.25">
      <c r="A20" s="1" t="s">
        <v>44</v>
      </c>
      <c r="B20" s="1"/>
      <c r="C20" s="1"/>
      <c r="D20" s="1"/>
      <c r="E20" s="1"/>
      <c r="F20" s="1"/>
      <c r="G20" s="1"/>
      <c r="H20" s="1"/>
    </row>
    <row r="21" spans="1:8" ht="10.5" customHeight="1" x14ac:dyDescent="0.25">
      <c r="A21" s="1"/>
      <c r="B21" s="1"/>
      <c r="C21" s="1"/>
      <c r="D21" s="1"/>
      <c r="E21" s="1"/>
      <c r="F21" s="1"/>
      <c r="G21" s="1"/>
      <c r="H21" s="1"/>
    </row>
    <row r="22" spans="1:8" ht="10.5" customHeight="1" x14ac:dyDescent="0.25">
      <c r="A22" s="1"/>
      <c r="B22" s="1"/>
      <c r="C22" s="1"/>
      <c r="D22" s="1"/>
      <c r="E22" s="1"/>
      <c r="F22" s="1"/>
      <c r="G22" s="1"/>
      <c r="H22" s="1"/>
    </row>
    <row r="23" spans="1:8" ht="10.5" customHeight="1" x14ac:dyDescent="0.25">
      <c r="G23" s="27" t="s">
        <v>45</v>
      </c>
    </row>
    <row r="24" spans="1:8" ht="10.5" customHeight="1" x14ac:dyDescent="0.25">
      <c r="G24" s="27" t="s">
        <v>46</v>
      </c>
    </row>
    <row r="25" spans="1:8" ht="10.5" customHeight="1" x14ac:dyDescent="0.25">
      <c r="G25" s="27" t="s">
        <v>47</v>
      </c>
    </row>
    <row r="26" spans="1:8" ht="10.5" customHeight="1" x14ac:dyDescent="0.25">
      <c r="G26" s="27" t="s">
        <v>48</v>
      </c>
    </row>
    <row r="27" spans="1:8" ht="10.5" customHeight="1" x14ac:dyDescent="0.25">
      <c r="G27" s="27" t="s">
        <v>49</v>
      </c>
    </row>
    <row r="28" spans="1:8" ht="10.5" customHeight="1" x14ac:dyDescent="0.25">
      <c r="G28" s="27" t="s">
        <v>50</v>
      </c>
    </row>
    <row r="29" spans="1:8" ht="6.75" customHeight="1" x14ac:dyDescent="0.25">
      <c r="G29" t="s">
        <v>51</v>
      </c>
    </row>
  </sheetData>
  <mergeCells count="5">
    <mergeCell ref="A1:H1"/>
    <mergeCell ref="A2:H2"/>
    <mergeCell ref="A16:D18"/>
    <mergeCell ref="E16:H18"/>
    <mergeCell ref="A20:H22"/>
  </mergeCells>
  <hyperlinks>
    <hyperlink ref="A16" location="'Buyer_Executive_Report'!A1" display="OPEN BUYER REPORT TAB_x000a_(click here)" xr:uid="{00000000-0004-0000-0000-000000000000}"/>
    <hyperlink ref="E16" location="'Automation_Guide'!A1" display="OPEN AUTOMATION GUIDE_x000a_(click here)" xr:uid="{00000000-0004-0000-0000-000001000000}"/>
  </hyperlink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00020"/>
  </sheetPr>
  <dimension ref="A1:H34"/>
  <sheetViews>
    <sheetView showGridLines="0" zoomScaleNormal="100" workbookViewId="0">
      <pane ySplit="3" topLeftCell="A6" activePane="bottomLeft" state="frozen"/>
      <selection pane="bottomLeft" activeCell="J13" sqref="J13"/>
    </sheetView>
  </sheetViews>
  <sheetFormatPr defaultColWidth="8.6640625" defaultRowHeight="12.75" customHeight="1" x14ac:dyDescent="0.25"/>
  <cols>
    <col min="1" max="1" width="31.44140625" bestFit="1" customWidth="1"/>
    <col min="2" max="2" width="18" customWidth="1"/>
    <col min="3" max="3" width="20" customWidth="1"/>
    <col min="4" max="4" width="31.33203125" bestFit="1" customWidth="1"/>
    <col min="5" max="5" width="20" customWidth="1"/>
    <col min="6" max="6" width="18" customWidth="1"/>
    <col min="7" max="7" width="28.44140625" bestFit="1" customWidth="1"/>
    <col min="8" max="8" width="18" customWidth="1"/>
  </cols>
  <sheetData>
    <row r="1" spans="1:8" ht="27.75" customHeight="1" x14ac:dyDescent="0.25">
      <c r="A1" s="12" t="s">
        <v>52</v>
      </c>
      <c r="B1" s="12"/>
      <c r="C1" s="12"/>
      <c r="D1" s="12"/>
      <c r="E1" s="12"/>
      <c r="F1" s="12"/>
      <c r="G1" s="12"/>
      <c r="H1" s="12"/>
    </row>
    <row r="2" spans="1:8" ht="14.25" customHeight="1" x14ac:dyDescent="0.25">
      <c r="A2" s="11" t="s">
        <v>53</v>
      </c>
      <c r="B2" s="11"/>
      <c r="C2" s="11"/>
      <c r="D2" s="11"/>
      <c r="E2" s="11"/>
      <c r="F2" s="11"/>
      <c r="G2" s="11"/>
      <c r="H2" s="11"/>
    </row>
    <row r="3" spans="1:8" ht="15" customHeight="1" x14ac:dyDescent="0.25">
      <c r="F3" s="10" t="s">
        <v>54</v>
      </c>
      <c r="G3" s="10"/>
      <c r="H3" s="10"/>
    </row>
    <row r="4" spans="1:8" ht="15" customHeight="1" x14ac:dyDescent="0.25">
      <c r="A4" s="9" t="s">
        <v>55</v>
      </c>
      <c r="B4" s="9"/>
      <c r="C4" s="9"/>
      <c r="D4" s="9"/>
      <c r="E4" s="9"/>
      <c r="F4" s="9"/>
      <c r="G4" s="9"/>
      <c r="H4" s="9"/>
    </row>
    <row r="5" spans="1:8" ht="13.5" customHeight="1" x14ac:dyDescent="0.25">
      <c r="A5" s="29" t="s">
        <v>9</v>
      </c>
      <c r="B5" s="422">
        <f>Summary!$B$4</f>
        <v>17472</v>
      </c>
      <c r="C5" s="30" t="s">
        <v>56</v>
      </c>
      <c r="D5" s="422">
        <f>Summary!$B$5</f>
        <v>12</v>
      </c>
      <c r="E5" s="30" t="s">
        <v>1003</v>
      </c>
      <c r="F5" s="420">
        <f>Summary!$B$6</f>
        <v>129.97639002857142</v>
      </c>
      <c r="G5" s="30" t="s">
        <v>1004</v>
      </c>
      <c r="H5" s="419">
        <f>Summary!$B$7</f>
        <v>2270947.4865791998</v>
      </c>
    </row>
    <row r="7" spans="1:8" ht="26.25" customHeight="1" x14ac:dyDescent="0.25">
      <c r="A7" s="29" t="s">
        <v>19</v>
      </c>
      <c r="B7" s="420">
        <f>Summary!$B$9</f>
        <v>90.983473019999991</v>
      </c>
      <c r="C7" s="30" t="s">
        <v>1006</v>
      </c>
      <c r="D7" s="420">
        <f>Summary!$B$11</f>
        <v>77.335952066999994</v>
      </c>
      <c r="E7" s="30" t="s">
        <v>57</v>
      </c>
      <c r="F7" s="419">
        <f>Summary!$B$13</f>
        <v>38.992917008571425</v>
      </c>
      <c r="G7" s="30" t="s">
        <v>1005</v>
      </c>
      <c r="H7" s="421">
        <f>Summary!$B$16</f>
        <v>681284.24597376003</v>
      </c>
    </row>
    <row r="8" spans="1:8" ht="13.5" customHeight="1" x14ac:dyDescent="0.25">
      <c r="A8" s="29" t="s">
        <v>58</v>
      </c>
      <c r="B8" s="423">
        <f>Appraisal_Full_Scope_Report!$H$22</f>
        <v>8.4</v>
      </c>
    </row>
    <row r="10" spans="1:8" ht="15" customHeight="1" x14ac:dyDescent="0.25">
      <c r="A10" s="9" t="s">
        <v>59</v>
      </c>
      <c r="B10" s="9"/>
      <c r="C10" s="9"/>
      <c r="D10" s="9"/>
      <c r="E10" s="9"/>
      <c r="F10" s="9"/>
      <c r="G10" s="9"/>
      <c r="H10" s="9"/>
    </row>
    <row r="11" spans="1:8" ht="12.75" customHeight="1" x14ac:dyDescent="0.25">
      <c r="A11" s="31" t="s">
        <v>60</v>
      </c>
      <c r="B11" s="31" t="s">
        <v>61</v>
      </c>
      <c r="C11" s="31" t="s">
        <v>62</v>
      </c>
      <c r="D11" s="31" t="s">
        <v>63</v>
      </c>
    </row>
    <row r="12" spans="1:8" ht="26.25" customHeight="1" x14ac:dyDescent="0.25">
      <c r="A12" s="29" t="s">
        <v>64</v>
      </c>
      <c r="B12" s="32">
        <f>Direct_Labor!$D$11</f>
        <v>732597.4656</v>
      </c>
      <c r="C12" s="33">
        <f>IFERROR(B12/$B$16,0)</f>
        <v>0.48242356392816826</v>
      </c>
      <c r="D12" s="34" t="s">
        <v>65</v>
      </c>
      <c r="E12" s="35"/>
      <c r="F12" s="35"/>
      <c r="G12" s="35"/>
      <c r="H12" s="35"/>
    </row>
    <row r="13" spans="1:8" ht="26.25" customHeight="1" x14ac:dyDescent="0.25">
      <c r="A13" s="29" t="s">
        <v>66</v>
      </c>
      <c r="B13" s="32">
        <f>Direct_Labor!$D$25</f>
        <v>150548.77918079999</v>
      </c>
      <c r="C13" s="33">
        <f>IFERROR(B13/$B$16,0)</f>
        <v>9.913804238723857E-2</v>
      </c>
      <c r="D13" s="34" t="s">
        <v>67</v>
      </c>
      <c r="E13" s="35"/>
      <c r="F13" s="35"/>
      <c r="G13" s="35"/>
      <c r="H13" s="35"/>
    </row>
    <row r="14" spans="1:8" ht="39" customHeight="1" x14ac:dyDescent="0.25">
      <c r="A14" s="29" t="s">
        <v>68</v>
      </c>
      <c r="B14" s="32">
        <f>Direct_Labor!$D$40</f>
        <v>169734.21519988365</v>
      </c>
      <c r="C14" s="33">
        <f>IFERROR(B14/$B$16,0)</f>
        <v>0.11177186499029917</v>
      </c>
      <c r="D14" s="34" t="s">
        <v>69</v>
      </c>
      <c r="E14" s="35"/>
      <c r="F14" s="35"/>
      <c r="G14" s="35"/>
      <c r="H14" s="35"/>
    </row>
    <row r="15" spans="1:8" ht="26.25" customHeight="1" x14ac:dyDescent="0.25">
      <c r="A15" s="29" t="s">
        <v>70</v>
      </c>
      <c r="B15" s="32">
        <f>Direct_Labor!$D$50</f>
        <v>465696.82433514233</v>
      </c>
      <c r="C15" s="33">
        <f>IFERROR(B15/$B$16,0)</f>
        <v>0.306666528694294</v>
      </c>
      <c r="D15" s="34" t="s">
        <v>71</v>
      </c>
      <c r="E15" s="35"/>
      <c r="F15" s="35"/>
      <c r="G15" s="35"/>
      <c r="H15" s="35"/>
    </row>
    <row r="16" spans="1:8" ht="39" customHeight="1" x14ac:dyDescent="0.25">
      <c r="A16" s="36" t="s">
        <v>72</v>
      </c>
      <c r="B16" s="37">
        <f>Direct_Labor!$D$52</f>
        <v>1518577.2843158259</v>
      </c>
      <c r="C16" s="38">
        <f>IFERROR(B16/$B$16,0)</f>
        <v>1</v>
      </c>
      <c r="D16" s="39" t="s">
        <v>73</v>
      </c>
      <c r="E16" s="35"/>
      <c r="F16" s="35"/>
      <c r="G16" s="35"/>
      <c r="H16" s="35"/>
    </row>
    <row r="17" spans="1:8" ht="12.75" customHeight="1" x14ac:dyDescent="0.25">
      <c r="B17" s="40"/>
      <c r="C17" s="41"/>
      <c r="D17" s="35"/>
      <c r="E17" s="35"/>
      <c r="F17" s="35"/>
      <c r="G17" s="35"/>
      <c r="H17" s="35"/>
    </row>
    <row r="19" spans="1:8" ht="15" customHeight="1" x14ac:dyDescent="0.25">
      <c r="A19" s="8" t="s">
        <v>74</v>
      </c>
      <c r="B19" s="8"/>
      <c r="C19" s="8"/>
      <c r="D19" s="8"/>
      <c r="E19" s="8"/>
      <c r="F19" s="8"/>
      <c r="G19" s="8"/>
      <c r="H19" s="8"/>
    </row>
    <row r="20" spans="1:8" ht="15" customHeight="1" x14ac:dyDescent="0.25">
      <c r="A20" s="42" t="s">
        <v>75</v>
      </c>
      <c r="B20" s="42" t="s">
        <v>76</v>
      </c>
      <c r="C20" s="42" t="s">
        <v>77</v>
      </c>
      <c r="D20" s="42" t="s">
        <v>1012</v>
      </c>
      <c r="E20" s="42" t="s">
        <v>79</v>
      </c>
      <c r="F20" s="28"/>
      <c r="G20" s="28"/>
      <c r="H20" s="28"/>
    </row>
    <row r="21" spans="1:8" ht="12.75" customHeight="1" x14ac:dyDescent="0.25">
      <c r="A21" s="43" t="s">
        <v>9</v>
      </c>
      <c r="B21" s="44">
        <f>Summary!$B$4</f>
        <v>17472</v>
      </c>
      <c r="C21" s="44">
        <f>Summary!$B$4</f>
        <v>17472</v>
      </c>
      <c r="D21" s="44">
        <f>Summary!$B$4</f>
        <v>17472</v>
      </c>
      <c r="E21" s="44">
        <f>Summary!$B$4</f>
        <v>17472</v>
      </c>
      <c r="F21" s="35"/>
      <c r="G21" s="35"/>
      <c r="H21" s="35"/>
    </row>
    <row r="22" spans="1:8" ht="12.75" customHeight="1" x14ac:dyDescent="0.25">
      <c r="A22" s="43" t="s">
        <v>80</v>
      </c>
      <c r="B22" s="45">
        <f>Summary!$B$6</f>
        <v>129.97639002857142</v>
      </c>
      <c r="C22" s="45">
        <f>Summary!$B$9</f>
        <v>90.983473019999991</v>
      </c>
      <c r="D22" s="45">
        <f>Summary!$B$11</f>
        <v>77.335952066999994</v>
      </c>
      <c r="E22" s="45">
        <f>Summary!$B$10</f>
        <v>63.688431113999989</v>
      </c>
      <c r="F22" s="35"/>
      <c r="G22" s="35"/>
      <c r="H22" s="35"/>
    </row>
    <row r="23" spans="1:8" ht="12.75" customHeight="1" x14ac:dyDescent="0.25">
      <c r="A23" s="43" t="s">
        <v>81</v>
      </c>
      <c r="B23" s="46">
        <f>Summary!$B$7</f>
        <v>2270947.4865791998</v>
      </c>
      <c r="C23" s="46">
        <f>Appraisal_Full_Scope_Report!$H$19</f>
        <v>1589663.2406054398</v>
      </c>
      <c r="D23" s="46">
        <f>D21*D22</f>
        <v>1351213.7545146239</v>
      </c>
      <c r="E23" s="46">
        <f>E21*E22</f>
        <v>1112764.2684238078</v>
      </c>
      <c r="F23" s="35"/>
      <c r="G23" s="35"/>
      <c r="H23" s="35"/>
    </row>
    <row r="24" spans="1:8" ht="12.75" customHeight="1" x14ac:dyDescent="0.25">
      <c r="A24" s="43" t="s">
        <v>82</v>
      </c>
      <c r="B24" s="45">
        <f>0</f>
        <v>0</v>
      </c>
      <c r="C24" s="45">
        <f>B22-C22</f>
        <v>38.992917008571425</v>
      </c>
      <c r="D24" s="45">
        <f>B22-D22</f>
        <v>52.640437961571422</v>
      </c>
      <c r="E24" s="45">
        <f>B22-E22</f>
        <v>66.287958914571419</v>
      </c>
      <c r="F24" s="35"/>
      <c r="G24" s="35"/>
      <c r="H24" s="35"/>
    </row>
    <row r="25" spans="1:8" ht="12.75" customHeight="1" x14ac:dyDescent="0.25">
      <c r="A25" s="43" t="s">
        <v>83</v>
      </c>
      <c r="B25" s="47">
        <f>0</f>
        <v>0</v>
      </c>
      <c r="C25" s="47">
        <f>B23-C23</f>
        <v>681284.24597376003</v>
      </c>
      <c r="D25" s="47">
        <f>B23-D23</f>
        <v>919733.73206457589</v>
      </c>
      <c r="E25" s="47">
        <f>B23-E23</f>
        <v>1158183.218155392</v>
      </c>
      <c r="F25" s="35"/>
      <c r="G25" s="35"/>
      <c r="H25" s="35"/>
    </row>
    <row r="26" spans="1:8" ht="12.75" customHeight="1" x14ac:dyDescent="0.25">
      <c r="A26" s="43" t="s">
        <v>84</v>
      </c>
      <c r="B26" s="48">
        <f>0</f>
        <v>0</v>
      </c>
      <c r="C26" s="48">
        <f>IFERROR(C25/B23,0)</f>
        <v>0.30000000000000004</v>
      </c>
      <c r="D26" s="48">
        <f>IFERROR(D25/B23,0)</f>
        <v>0.40499999999999997</v>
      </c>
      <c r="E26" s="48">
        <f>IFERROR(E25/B23,0)</f>
        <v>0.51</v>
      </c>
      <c r="F26" s="35"/>
      <c r="G26" s="35"/>
      <c r="H26" s="35"/>
    </row>
    <row r="28" spans="1:8" ht="15" customHeight="1" x14ac:dyDescent="0.25">
      <c r="A28" s="9" t="s">
        <v>85</v>
      </c>
      <c r="B28" s="9"/>
      <c r="C28" s="9"/>
      <c r="D28" s="9"/>
      <c r="E28" s="9"/>
      <c r="F28" s="9"/>
      <c r="G28" s="9"/>
      <c r="H28" s="9"/>
    </row>
    <row r="29" spans="1:8" ht="12.75" customHeight="1" x14ac:dyDescent="0.25">
      <c r="A29" s="7" t="str">
        <f>"Direct labor represents "&amp;IFERROR(TEXT(C12,"0.0%"),"-")&amp;" of the vendor fully burdened labor stack."</f>
        <v>Direct labor represents 48.2% of the vendor fully burdened labor stack.</v>
      </c>
      <c r="B29" s="7"/>
      <c r="C29" s="7"/>
      <c r="D29" s="7"/>
      <c r="E29" s="7"/>
      <c r="F29" s="7"/>
      <c r="G29" s="7"/>
      <c r="H29" s="7"/>
    </row>
    <row r="30" spans="1:8" ht="12.75" customHeight="1" x14ac:dyDescent="0.25">
      <c r="A30" s="6" t="str">
        <f>"Vendor TCO pricing lowers annual buyer spend by "&amp;IFERROR(TEXT(H7,"$#,##0"),"-")&amp;" per year compared with the buyer should-cost benchmark."</f>
        <v>Vendor TCO pricing lowers annual buyer spend by $681,284 per year compared with the buyer should-cost benchmark.</v>
      </c>
      <c r="B30" s="6"/>
      <c r="C30" s="6"/>
      <c r="D30" s="6"/>
      <c r="E30" s="6"/>
      <c r="F30" s="6"/>
      <c r="G30" s="6"/>
      <c r="H30" s="6"/>
    </row>
    <row r="31" spans="1:8" ht="12.75" customHeight="1" x14ac:dyDescent="0.25">
      <c r="A31" s="7" t="str">
        <f>"Capital recovery opportunity equals "&amp;IFERROR(TEXT(F7,"$0.00"),"-")&amp;" per hour and "&amp;IFERROR(TEXT(H7,"$#,##0"),"-")&amp;" per year."</f>
        <v>Capital recovery opportunity equals $38.99 per hour and $681,284 per year.</v>
      </c>
      <c r="B31" s="7"/>
      <c r="C31" s="7"/>
      <c r="D31" s="7"/>
      <c r="E31" s="7"/>
      <c r="F31" s="7"/>
      <c r="G31" s="7"/>
      <c r="H31" s="7"/>
    </row>
    <row r="32" spans="1:8" ht="12.75" customHeight="1" x14ac:dyDescent="0.25">
      <c r="A32" s="6" t="str">
        <f>"The buyer should-cost benchmark is "&amp;IFERROR(TEXT(F5,"$0.00"),"-")&amp;" per productive hour versus vendor TCO of "&amp;IFERROR(TEXT(B7,"$0.00"),"-")&amp;"."</f>
        <v>The buyer should-cost benchmark is $129.98 per productive hour versus vendor TCO of $90.98.</v>
      </c>
      <c r="B32" s="6"/>
      <c r="C32" s="6"/>
      <c r="D32" s="6"/>
      <c r="E32" s="6"/>
      <c r="F32" s="6"/>
      <c r="G32" s="6"/>
      <c r="H32" s="6"/>
    </row>
    <row r="34" spans="1:8" ht="12.75" customHeight="1" x14ac:dyDescent="0.25">
      <c r="A34" s="5" t="s">
        <v>86</v>
      </c>
      <c r="B34" s="5"/>
      <c r="C34" s="5"/>
      <c r="D34" s="5"/>
      <c r="E34" s="5"/>
      <c r="F34" s="5"/>
      <c r="G34" s="5"/>
      <c r="H34" s="5"/>
    </row>
  </sheetData>
  <mergeCells count="12">
    <mergeCell ref="A32:H32"/>
    <mergeCell ref="A34:H34"/>
    <mergeCell ref="A19:H19"/>
    <mergeCell ref="A28:H28"/>
    <mergeCell ref="A29:H29"/>
    <mergeCell ref="A30:H30"/>
    <mergeCell ref="A31:H31"/>
    <mergeCell ref="A1:H1"/>
    <mergeCell ref="A2:H2"/>
    <mergeCell ref="F3:H3"/>
    <mergeCell ref="A4:H4"/>
    <mergeCell ref="A10:H10"/>
  </mergeCells>
  <hyperlinks>
    <hyperlink ref="F3" location="'Automation_Guide'!A1" display="Setup one-click export" xr:uid="{00000000-0004-0000-0100-000000000000}"/>
  </hyperlinks>
  <pageMargins left="0.35" right="0.35" top="0.5" bottom="0.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0000"/>
  </sheetPr>
  <dimension ref="A1:C24"/>
  <sheetViews>
    <sheetView showGridLines="0" zoomScaleNormal="100" workbookViewId="0"/>
  </sheetViews>
  <sheetFormatPr defaultColWidth="8.6640625" defaultRowHeight="12.75" customHeight="1" x14ac:dyDescent="0.25"/>
  <cols>
    <col min="1" max="1" width="14" customWidth="1"/>
    <col min="2" max="2" width="28" customWidth="1"/>
    <col min="3" max="3" width="95" customWidth="1"/>
  </cols>
  <sheetData>
    <row r="1" spans="1:3" ht="17.25" customHeight="1" x14ac:dyDescent="0.25">
      <c r="A1" s="356" t="s">
        <v>87</v>
      </c>
      <c r="B1" s="356"/>
      <c r="C1" s="356"/>
    </row>
    <row r="2" spans="1:3" ht="12.75" customHeight="1" x14ac:dyDescent="0.25">
      <c r="A2" s="357" t="s">
        <v>88</v>
      </c>
      <c r="B2" s="357"/>
      <c r="C2" s="357"/>
    </row>
    <row r="3" spans="1:3" ht="12.75" customHeight="1" x14ac:dyDescent="0.25">
      <c r="A3" s="49"/>
      <c r="B3" s="49"/>
      <c r="C3" s="49"/>
    </row>
    <row r="4" spans="1:3" ht="13.5" customHeight="1" x14ac:dyDescent="0.25">
      <c r="A4" s="50" t="s">
        <v>89</v>
      </c>
      <c r="B4" s="50" t="s">
        <v>90</v>
      </c>
      <c r="C4" s="50" t="s">
        <v>91</v>
      </c>
    </row>
    <row r="5" spans="1:3" ht="31.5" customHeight="1" x14ac:dyDescent="0.25">
      <c r="A5" s="51" t="s">
        <v>92</v>
      </c>
      <c r="B5" s="52" t="s">
        <v>93</v>
      </c>
      <c r="C5" s="52" t="s">
        <v>94</v>
      </c>
    </row>
    <row r="6" spans="1:3" ht="31.5" customHeight="1" x14ac:dyDescent="0.25">
      <c r="A6" s="53" t="s">
        <v>95</v>
      </c>
      <c r="B6" s="54" t="s">
        <v>96</v>
      </c>
      <c r="C6" s="54" t="s">
        <v>97</v>
      </c>
    </row>
    <row r="7" spans="1:3" ht="31.5" customHeight="1" x14ac:dyDescent="0.25">
      <c r="A7" s="51" t="s">
        <v>98</v>
      </c>
      <c r="B7" s="52" t="s">
        <v>99</v>
      </c>
      <c r="C7" s="52" t="s">
        <v>100</v>
      </c>
    </row>
    <row r="8" spans="1:3" ht="31.5" customHeight="1" x14ac:dyDescent="0.25">
      <c r="A8" s="53" t="s">
        <v>101</v>
      </c>
      <c r="B8" s="54" t="s">
        <v>102</v>
      </c>
      <c r="C8" s="54" t="s">
        <v>103</v>
      </c>
    </row>
    <row r="9" spans="1:3" ht="31.5" customHeight="1" x14ac:dyDescent="0.25">
      <c r="A9" s="51" t="s">
        <v>104</v>
      </c>
      <c r="B9" s="52" t="s">
        <v>105</v>
      </c>
      <c r="C9" s="52" t="s">
        <v>106</v>
      </c>
    </row>
    <row r="10" spans="1:3" ht="26.25" customHeight="1" x14ac:dyDescent="0.25">
      <c r="A10" s="55" t="s">
        <v>107</v>
      </c>
      <c r="B10" s="55" t="s">
        <v>108</v>
      </c>
      <c r="C10" s="55" t="s">
        <v>109</v>
      </c>
    </row>
    <row r="11" spans="1:3" ht="12.75" customHeight="1" x14ac:dyDescent="0.25">
      <c r="A11" s="49"/>
      <c r="B11" s="49"/>
      <c r="C11" s="49"/>
    </row>
    <row r="12" spans="1:3" ht="13.5" customHeight="1" x14ac:dyDescent="0.25">
      <c r="A12" s="358" t="s">
        <v>110</v>
      </c>
      <c r="B12" s="358"/>
      <c r="C12" s="358"/>
    </row>
    <row r="13" spans="1:3" ht="12.75" customHeight="1" x14ac:dyDescent="0.25">
      <c r="A13" s="359" t="s">
        <v>111</v>
      </c>
      <c r="B13" s="359"/>
      <c r="C13" s="56" t="s">
        <v>112</v>
      </c>
    </row>
    <row r="14" spans="1:3" ht="26.25" customHeight="1" x14ac:dyDescent="0.25">
      <c r="A14" s="359" t="s">
        <v>113</v>
      </c>
      <c r="B14" s="359"/>
      <c r="C14" s="56" t="s">
        <v>114</v>
      </c>
    </row>
    <row r="15" spans="1:3" ht="12.75" customHeight="1" x14ac:dyDescent="0.25">
      <c r="A15" s="359" t="s">
        <v>115</v>
      </c>
      <c r="B15" s="359"/>
      <c r="C15" s="56" t="s">
        <v>116</v>
      </c>
    </row>
    <row r="16" spans="1:3" ht="12.75" customHeight="1" x14ac:dyDescent="0.25">
      <c r="A16" s="359" t="s">
        <v>117</v>
      </c>
      <c r="B16" s="359"/>
      <c r="C16" s="56"/>
    </row>
    <row r="17" spans="1:3" ht="12.75" customHeight="1" x14ac:dyDescent="0.25">
      <c r="A17" s="359" t="s">
        <v>118</v>
      </c>
      <c r="B17" s="359"/>
      <c r="C17" s="56"/>
    </row>
    <row r="18" spans="1:3" ht="12.75" customHeight="1" x14ac:dyDescent="0.25">
      <c r="A18" s="359" t="s">
        <v>119</v>
      </c>
      <c r="B18" s="359"/>
      <c r="C18" s="56"/>
    </row>
    <row r="19" spans="1:3" ht="41.25" customHeight="1" x14ac:dyDescent="0.25">
      <c r="A19" s="50" t="s">
        <v>120</v>
      </c>
      <c r="B19" s="50"/>
      <c r="C19" s="50"/>
    </row>
    <row r="20" spans="1:3" ht="12.75" customHeight="1" x14ac:dyDescent="0.25">
      <c r="A20" s="55" t="s">
        <v>92</v>
      </c>
      <c r="B20" s="55" t="s">
        <v>121</v>
      </c>
      <c r="C20" s="55" t="s">
        <v>122</v>
      </c>
    </row>
    <row r="21" spans="1:3" ht="12.75" customHeight="1" x14ac:dyDescent="0.25">
      <c r="A21" s="55" t="s">
        <v>95</v>
      </c>
      <c r="B21" s="55" t="s">
        <v>123</v>
      </c>
      <c r="C21" s="55" t="s">
        <v>124</v>
      </c>
    </row>
    <row r="22" spans="1:3" ht="12.75" customHeight="1" x14ac:dyDescent="0.25">
      <c r="A22" s="55" t="s">
        <v>98</v>
      </c>
      <c r="B22" s="55" t="s">
        <v>125</v>
      </c>
      <c r="C22" s="55" t="s">
        <v>126</v>
      </c>
    </row>
    <row r="23" spans="1:3" ht="12.75" customHeight="1" x14ac:dyDescent="0.25">
      <c r="A23" s="55" t="s">
        <v>101</v>
      </c>
      <c r="B23" s="55" t="s">
        <v>127</v>
      </c>
      <c r="C23" s="55" t="s">
        <v>128</v>
      </c>
    </row>
    <row r="24" spans="1:3" ht="12.75" customHeight="1" x14ac:dyDescent="0.25">
      <c r="A24" s="55" t="s">
        <v>104</v>
      </c>
      <c r="B24" s="55" t="s">
        <v>129</v>
      </c>
      <c r="C24" s="55" t="s">
        <v>130</v>
      </c>
    </row>
  </sheetData>
  <mergeCells count="9">
    <mergeCell ref="A15:B15"/>
    <mergeCell ref="A16:B16"/>
    <mergeCell ref="A17:B17"/>
    <mergeCell ref="A18:B18"/>
    <mergeCell ref="A1:C1"/>
    <mergeCell ref="A2:C2"/>
    <mergeCell ref="A12:C12"/>
    <mergeCell ref="A13:B13"/>
    <mergeCell ref="A14:B14"/>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J75"/>
  <sheetViews>
    <sheetView zoomScaleNormal="100" workbookViewId="0">
      <selection activeCell="E58" sqref="E58"/>
    </sheetView>
  </sheetViews>
  <sheetFormatPr defaultColWidth="8.6640625" defaultRowHeight="14.25" customHeight="1" x14ac:dyDescent="0.3"/>
  <cols>
    <col min="1" max="1" width="42" style="57" customWidth="1"/>
    <col min="2" max="2" width="14" style="57" customWidth="1"/>
    <col min="3" max="4" width="16" style="57" customWidth="1"/>
    <col min="5" max="5" width="24" style="57" customWidth="1"/>
    <col min="6" max="6" width="14" style="57" customWidth="1"/>
    <col min="7" max="9" width="18" style="57" customWidth="1"/>
    <col min="10" max="10" width="13" style="57" customWidth="1"/>
  </cols>
  <sheetData>
    <row r="1" spans="1:6" customFormat="1" ht="8.25" customHeight="1" x14ac:dyDescent="0.25">
      <c r="A1" s="360" t="s">
        <v>131</v>
      </c>
      <c r="B1" s="360"/>
      <c r="C1" s="360"/>
      <c r="D1" s="360"/>
      <c r="E1" s="360"/>
    </row>
    <row r="2" spans="1:6" customFormat="1" ht="10.5" customHeight="1" x14ac:dyDescent="0.25">
      <c r="A2" s="361" t="s">
        <v>132</v>
      </c>
      <c r="B2" s="361"/>
      <c r="C2" s="361"/>
      <c r="D2" s="361"/>
      <c r="E2" s="361"/>
    </row>
    <row r="3" spans="1:6" customFormat="1" ht="15.75" customHeight="1" x14ac:dyDescent="0.25">
      <c r="A3" s="362" t="s">
        <v>133</v>
      </c>
      <c r="B3" s="362"/>
      <c r="C3" s="362"/>
      <c r="E3" s="59"/>
      <c r="F3" s="59"/>
    </row>
    <row r="4" spans="1:6" customFormat="1" ht="10.5" customHeight="1" x14ac:dyDescent="0.25">
      <c r="A4" s="60" t="s">
        <v>134</v>
      </c>
      <c r="B4" s="61">
        <v>27.48</v>
      </c>
      <c r="C4" s="62">
        <f>Direct_Labor!C4</f>
        <v>33.74</v>
      </c>
      <c r="E4" s="13" t="s">
        <v>135</v>
      </c>
    </row>
    <row r="5" spans="1:6" customFormat="1" ht="10.5" hidden="1" customHeight="1" x14ac:dyDescent="0.25">
      <c r="A5" s="63" t="s">
        <v>136</v>
      </c>
      <c r="B5" s="64">
        <v>1456</v>
      </c>
      <c r="C5" s="65"/>
    </row>
    <row r="6" spans="1:6" customFormat="1" ht="10.5" hidden="1" customHeight="1" x14ac:dyDescent="0.25">
      <c r="A6" s="63" t="s">
        <v>137</v>
      </c>
      <c r="B6" s="64">
        <v>1456</v>
      </c>
      <c r="C6" s="65"/>
    </row>
    <row r="7" spans="1:6" customFormat="1" ht="10.5" customHeight="1" x14ac:dyDescent="0.25">
      <c r="A7" s="63" t="s">
        <v>138</v>
      </c>
      <c r="B7" s="66">
        <v>0</v>
      </c>
      <c r="C7" s="67">
        <f>Direct_Labor!C5</f>
        <v>0</v>
      </c>
    </row>
    <row r="8" spans="1:6" customFormat="1" ht="10.5" customHeight="1" x14ac:dyDescent="0.25">
      <c r="A8" s="63" t="s">
        <v>139</v>
      </c>
      <c r="B8" s="66">
        <v>0</v>
      </c>
      <c r="C8" s="67">
        <f>Direct_Labor!C8</f>
        <v>0</v>
      </c>
    </row>
    <row r="9" spans="1:6" customFormat="1" ht="10.5" customHeight="1" x14ac:dyDescent="0.25">
      <c r="A9" s="63" t="s">
        <v>140</v>
      </c>
      <c r="B9" s="66">
        <v>0.08</v>
      </c>
      <c r="C9" s="62">
        <f>Direct_Labor!C9</f>
        <v>2.6992000000000003</v>
      </c>
    </row>
    <row r="10" spans="1:6" customFormat="1" ht="10.5" customHeight="1" x14ac:dyDescent="0.25">
      <c r="A10" s="63" t="s">
        <v>141</v>
      </c>
      <c r="B10" s="66">
        <v>0</v>
      </c>
      <c r="C10" s="67">
        <f>Direct_Labor!C6</f>
        <v>0</v>
      </c>
    </row>
    <row r="11" spans="1:6" customFormat="1" ht="10.5" customHeight="1" x14ac:dyDescent="0.25">
      <c r="A11" s="63" t="s">
        <v>142</v>
      </c>
      <c r="B11" s="61">
        <v>4.22</v>
      </c>
      <c r="C11" s="424">
        <f>Direct_Labor!C7</f>
        <v>4.22</v>
      </c>
    </row>
    <row r="12" spans="1:6" customFormat="1" ht="15.75" customHeight="1" x14ac:dyDescent="0.25">
      <c r="A12" s="362" t="s">
        <v>143</v>
      </c>
      <c r="B12" s="362"/>
      <c r="C12" s="362"/>
      <c r="E12" s="59"/>
      <c r="F12" s="59"/>
    </row>
    <row r="13" spans="1:6" customFormat="1" ht="10.5" customHeight="1" x14ac:dyDescent="0.25">
      <c r="A13" s="60" t="s">
        <v>144</v>
      </c>
      <c r="B13" s="66">
        <v>7.6499999999999999E-2</v>
      </c>
      <c r="C13" s="62">
        <f>Direct_Labor!C17</f>
        <v>3.2076297</v>
      </c>
    </row>
    <row r="14" spans="1:6" customFormat="1" ht="10.5" customHeight="1" x14ac:dyDescent="0.25">
      <c r="A14" s="60" t="s">
        <v>145</v>
      </c>
      <c r="B14" s="66">
        <v>6.0000000000000001E-3</v>
      </c>
      <c r="C14" s="62">
        <f>Direct_Labor!C18</f>
        <v>0.25157879999999999</v>
      </c>
    </row>
    <row r="15" spans="1:6" customFormat="1" ht="10.5" customHeight="1" x14ac:dyDescent="0.25">
      <c r="A15" s="60" t="s">
        <v>146</v>
      </c>
      <c r="B15" s="66">
        <v>0.02</v>
      </c>
      <c r="C15" s="62">
        <f>Direct_Labor!C19</f>
        <v>0.83859600000000001</v>
      </c>
    </row>
    <row r="16" spans="1:6" customFormat="1" ht="10.5" customHeight="1" x14ac:dyDescent="0.25">
      <c r="A16" s="60" t="s">
        <v>147</v>
      </c>
      <c r="B16" s="66">
        <v>1.6E-2</v>
      </c>
      <c r="C16" s="62">
        <f>Direct_Labor!C20</f>
        <v>0.67087680000000005</v>
      </c>
    </row>
    <row r="17" spans="1:6" customFormat="1" ht="10.5" customHeight="1" x14ac:dyDescent="0.25">
      <c r="A17" s="60" t="s">
        <v>148</v>
      </c>
      <c r="B17" s="61">
        <v>0</v>
      </c>
      <c r="C17" s="67">
        <f>Direct_Labor!C21</f>
        <v>0</v>
      </c>
    </row>
    <row r="18" spans="1:6" customFormat="1" ht="10.5" customHeight="1" x14ac:dyDescent="0.25">
      <c r="A18" s="60" t="s">
        <v>149</v>
      </c>
      <c r="B18" s="66">
        <v>0.02</v>
      </c>
      <c r="C18" s="67">
        <f>Direct_Labor!C22</f>
        <v>0.83859600000000001</v>
      </c>
    </row>
    <row r="19" spans="1:6" customFormat="1" ht="10.5" customHeight="1" x14ac:dyDescent="0.25">
      <c r="A19" s="60" t="s">
        <v>150</v>
      </c>
      <c r="B19" s="66">
        <v>0.04</v>
      </c>
      <c r="C19" s="62">
        <f>Direct_Labor!C23</f>
        <v>1.677192</v>
      </c>
    </row>
    <row r="20" spans="1:6" customFormat="1" ht="10.5" customHeight="1" x14ac:dyDescent="0.25">
      <c r="A20" s="60" t="s">
        <v>151</v>
      </c>
      <c r="B20" s="68">
        <v>2.7E-2</v>
      </c>
      <c r="C20" s="67">
        <f>Direct_Labor!C24</f>
        <v>1.1321045999999999</v>
      </c>
    </row>
    <row r="21" spans="1:6" customFormat="1" ht="10.5" customHeight="1" x14ac:dyDescent="0.25">
      <c r="A21" s="69" t="s">
        <v>152</v>
      </c>
      <c r="B21" s="70">
        <v>15</v>
      </c>
      <c r="C21" s="71">
        <f>Direct_Labor!C10</f>
        <v>1.2706</v>
      </c>
      <c r="E21" s="13" t="s">
        <v>153</v>
      </c>
    </row>
    <row r="22" spans="1:6" customFormat="1" ht="15.75" customHeight="1" x14ac:dyDescent="0.3">
      <c r="A22" s="58" t="s">
        <v>154</v>
      </c>
      <c r="B22" s="72"/>
      <c r="C22" s="73"/>
      <c r="E22" s="59"/>
      <c r="F22" s="59"/>
    </row>
    <row r="23" spans="1:6" customFormat="1" ht="10.5" customHeight="1" x14ac:dyDescent="0.25">
      <c r="A23" s="60" t="s">
        <v>155</v>
      </c>
      <c r="B23" s="66">
        <v>0</v>
      </c>
      <c r="C23" s="67">
        <f>Direct_Labor!$C$30</f>
        <v>0</v>
      </c>
    </row>
    <row r="24" spans="1:6" customFormat="1" ht="10.5" customHeight="1" x14ac:dyDescent="0.25">
      <c r="A24" s="60" t="s">
        <v>156</v>
      </c>
      <c r="B24" s="66">
        <v>1.4999999999999999E-2</v>
      </c>
      <c r="C24" s="62">
        <f>Direct_Labor!$C$31</f>
        <v>0.62894700000000003</v>
      </c>
    </row>
    <row r="25" spans="1:6" customFormat="1" ht="10.5" customHeight="1" x14ac:dyDescent="0.25">
      <c r="A25" s="60" t="s">
        <v>157</v>
      </c>
      <c r="B25" s="66">
        <v>1E-3</v>
      </c>
      <c r="C25" s="62">
        <f>Direct_Labor!$C$32</f>
        <v>1.1071394230769229</v>
      </c>
    </row>
    <row r="26" spans="1:6" customFormat="1" ht="10.5" customHeight="1" x14ac:dyDescent="0.25">
      <c r="A26" s="63" t="s">
        <v>158</v>
      </c>
      <c r="B26" s="66">
        <v>0</v>
      </c>
      <c r="C26" s="67">
        <f>Direct_Labor!$C$33</f>
        <v>0</v>
      </c>
    </row>
    <row r="27" spans="1:6" customFormat="1" ht="10.5" customHeight="1" x14ac:dyDescent="0.25">
      <c r="A27" s="63" t="s">
        <v>159</v>
      </c>
      <c r="B27" s="66">
        <v>0</v>
      </c>
      <c r="C27" s="67">
        <f>Direct_Labor!$C$34</f>
        <v>0</v>
      </c>
    </row>
    <row r="28" spans="1:6" customFormat="1" ht="10.5" customHeight="1" x14ac:dyDescent="0.25">
      <c r="A28" s="63" t="s">
        <v>160</v>
      </c>
      <c r="B28" s="66">
        <v>0</v>
      </c>
      <c r="C28" s="67">
        <f>Direct_Labor!$C$35</f>
        <v>0</v>
      </c>
    </row>
    <row r="29" spans="1:6" customFormat="1" ht="10.5" customHeight="1" x14ac:dyDescent="0.25">
      <c r="A29" s="63" t="s">
        <v>161</v>
      </c>
      <c r="B29" s="66">
        <v>0.02</v>
      </c>
      <c r="C29" s="62">
        <f>Direct_Labor!$C$36</f>
        <v>3.5046453546453544</v>
      </c>
    </row>
    <row r="30" spans="1:6" customFormat="1" ht="10.5" customHeight="1" x14ac:dyDescent="0.25">
      <c r="A30" s="63" t="s">
        <v>162</v>
      </c>
      <c r="B30" s="66">
        <v>0.01</v>
      </c>
      <c r="C30" s="62">
        <f>Direct_Labor!$C$37</f>
        <v>0.419298</v>
      </c>
    </row>
    <row r="31" spans="1:6" customFormat="1" ht="10.5" customHeight="1" x14ac:dyDescent="0.25">
      <c r="A31" s="63" t="s">
        <v>163</v>
      </c>
      <c r="B31" s="66">
        <v>8.9200000000000002E-2</v>
      </c>
      <c r="C31" s="62">
        <f>Direct_Labor!$C$38</f>
        <v>3.7401381599999999</v>
      </c>
    </row>
    <row r="32" spans="1:6" customFormat="1" ht="10.5" customHeight="1" x14ac:dyDescent="0.25">
      <c r="A32" s="63" t="s">
        <v>164</v>
      </c>
      <c r="B32" s="66">
        <v>7.4999999999999997E-3</v>
      </c>
      <c r="C32" s="62">
        <f>Direct_Labor!$C$39</f>
        <v>0.31447350000000002</v>
      </c>
    </row>
    <row r="33" spans="1:6" customFormat="1" ht="13.5" hidden="1" customHeight="1" x14ac:dyDescent="0.25">
      <c r="A33" s="363"/>
      <c r="B33" s="363"/>
      <c r="C33" s="363"/>
    </row>
    <row r="34" spans="1:6" customFormat="1" ht="15.75" customHeight="1" x14ac:dyDescent="0.25">
      <c r="A34" s="58" t="s">
        <v>165</v>
      </c>
      <c r="C34" s="75"/>
      <c r="E34" s="59"/>
      <c r="F34" s="59"/>
    </row>
    <row r="35" spans="1:6" customFormat="1" ht="10.5" customHeight="1" x14ac:dyDescent="0.25">
      <c r="A35" s="63" t="s">
        <v>166</v>
      </c>
      <c r="B35" s="66">
        <v>0</v>
      </c>
      <c r="C35" s="67">
        <f>Direct_Labor!$C$45</f>
        <v>0</v>
      </c>
    </row>
    <row r="36" spans="1:6" customFormat="1" ht="10.5" customHeight="1" x14ac:dyDescent="0.25">
      <c r="A36" s="63" t="s">
        <v>167</v>
      </c>
      <c r="B36" s="66">
        <v>0</v>
      </c>
      <c r="C36" s="67">
        <f>Direct_Labor!$C$46</f>
        <v>0</v>
      </c>
    </row>
    <row r="37" spans="1:6" customFormat="1" ht="10.5" customHeight="1" x14ac:dyDescent="0.25">
      <c r="A37" s="76" t="s">
        <v>168</v>
      </c>
      <c r="B37" s="66">
        <v>0.1</v>
      </c>
      <c r="C37" s="62">
        <f>Direct_Labor!$C$47</f>
        <v>4.1929800000000004</v>
      </c>
    </row>
    <row r="38" spans="1:6" customFormat="1" ht="10.5" customHeight="1" x14ac:dyDescent="0.25">
      <c r="A38" s="76" t="s">
        <v>169</v>
      </c>
      <c r="B38" s="66">
        <v>0.08</v>
      </c>
      <c r="C38" s="62">
        <f>Direct_Labor!$C$48</f>
        <v>3.354384</v>
      </c>
    </row>
    <row r="39" spans="1:6" customFormat="1" ht="10.5" customHeight="1" x14ac:dyDescent="0.25">
      <c r="A39" s="76" t="s">
        <v>1014</v>
      </c>
      <c r="B39" s="68">
        <v>0.21</v>
      </c>
      <c r="C39" s="62">
        <f>Direct_Labor!$C$49</f>
        <v>19.106529334199998</v>
      </c>
    </row>
    <row r="40" spans="1:6" customFormat="1" ht="10.5" hidden="1" customHeight="1" x14ac:dyDescent="0.25">
      <c r="A40" s="63" t="s">
        <v>170</v>
      </c>
      <c r="B40" s="77">
        <v>0.7</v>
      </c>
      <c r="C40" s="78">
        <f>Vendor_Pricing!B5</f>
        <v>90.983473019999991</v>
      </c>
    </row>
    <row r="41" spans="1:6" customFormat="1" ht="10.5" hidden="1" customHeight="1" x14ac:dyDescent="0.25">
      <c r="A41" s="63" t="s">
        <v>171</v>
      </c>
      <c r="B41" s="77">
        <v>0.7</v>
      </c>
      <c r="C41" s="78">
        <f>Vendor_Pricing!B6</f>
        <v>63.688431113999989</v>
      </c>
    </row>
    <row r="42" spans="1:6" customFormat="1" ht="10.5" hidden="1" customHeight="1" x14ac:dyDescent="0.25">
      <c r="A42" s="63" t="s">
        <v>172</v>
      </c>
      <c r="B42" s="79">
        <v>1500</v>
      </c>
      <c r="C42" s="79"/>
    </row>
    <row r="43" spans="1:6" customFormat="1" ht="10.5" hidden="1" customHeight="1" x14ac:dyDescent="0.25">
      <c r="A43" s="63" t="s">
        <v>173</v>
      </c>
      <c r="B43" s="77">
        <v>0.7</v>
      </c>
      <c r="C43" s="78">
        <f>Government_TCO!B5</f>
        <v>48.2</v>
      </c>
    </row>
    <row r="44" spans="1:6" customFormat="1" ht="10.5" hidden="1" customHeight="1" x14ac:dyDescent="0.25">
      <c r="A44" s="63" t="s">
        <v>174</v>
      </c>
      <c r="B44" s="79">
        <v>3744</v>
      </c>
      <c r="C44" s="79"/>
    </row>
    <row r="45" spans="1:6" customFormat="1" ht="10.5" hidden="1" customHeight="1" x14ac:dyDescent="0.25">
      <c r="A45" s="63" t="s">
        <v>138</v>
      </c>
      <c r="B45" s="77">
        <f>B7</f>
        <v>0</v>
      </c>
      <c r="C45" s="78">
        <f>Direct_Labor!C5</f>
        <v>0</v>
      </c>
    </row>
    <row r="46" spans="1:6" customFormat="1" ht="10.5" hidden="1" customHeight="1" x14ac:dyDescent="0.25">
      <c r="A46" s="63" t="s">
        <v>141</v>
      </c>
      <c r="B46" s="80">
        <f>B10</f>
        <v>0</v>
      </c>
      <c r="C46" s="81">
        <f>Direct_Labor!C6</f>
        <v>0</v>
      </c>
    </row>
    <row r="47" spans="1:6" customFormat="1" ht="10.5" hidden="1" customHeight="1" x14ac:dyDescent="0.25">
      <c r="A47" s="63" t="s">
        <v>175</v>
      </c>
      <c r="B47" s="82">
        <f>IFERROR(Government_TCO!B8/Direct_Labor!C11,0)</f>
        <v>3.0998571428571426</v>
      </c>
      <c r="C47" s="82">
        <f>Government_TCO!B16</f>
        <v>3.8522937175035983</v>
      </c>
      <c r="D47" s="83"/>
      <c r="E47" s="84"/>
    </row>
    <row r="48" spans="1:6" customFormat="1" ht="10.5" customHeight="1" x14ac:dyDescent="0.25">
      <c r="A48" s="85" t="s">
        <v>176</v>
      </c>
      <c r="C48" s="75"/>
    </row>
    <row r="49" spans="1:7" customFormat="1" ht="15.75" hidden="1" customHeight="1" x14ac:dyDescent="0.25">
      <c r="A49" s="58" t="s">
        <v>177</v>
      </c>
      <c r="C49" s="75"/>
      <c r="F49" s="59"/>
    </row>
    <row r="50" spans="1:7" customFormat="1" ht="28.5" hidden="1" customHeight="1" x14ac:dyDescent="0.25">
      <c r="A50" s="86" t="s">
        <v>178</v>
      </c>
      <c r="B50" s="87"/>
      <c r="C50" s="87"/>
      <c r="D50" s="59"/>
      <c r="E50" s="59"/>
      <c r="F50" s="59"/>
    </row>
    <row r="51" spans="1:7" customFormat="1" ht="10.5" hidden="1" customHeight="1" x14ac:dyDescent="0.25">
      <c r="A51" s="63" t="s">
        <v>179</v>
      </c>
      <c r="B51" s="88">
        <f>Vehicle!B5</f>
        <v>1</v>
      </c>
      <c r="C51" s="88"/>
    </row>
    <row r="52" spans="1:7" customFormat="1" ht="10.5" hidden="1" customHeight="1" x14ac:dyDescent="0.25">
      <c r="A52" s="63" t="s">
        <v>180</v>
      </c>
      <c r="B52" s="88">
        <f>Vehicle!B6</f>
        <v>365</v>
      </c>
      <c r="C52" s="88"/>
    </row>
    <row r="53" spans="1:7" customFormat="1" ht="10.5" hidden="1" customHeight="1" x14ac:dyDescent="0.25">
      <c r="A53" s="63" t="s">
        <v>181</v>
      </c>
      <c r="B53" s="89">
        <f>Vehicle!B10</f>
        <v>4</v>
      </c>
      <c r="C53" s="90">
        <f>Vehicle!B10</f>
        <v>4</v>
      </c>
    </row>
    <row r="54" spans="1:7" customFormat="1" ht="10.5" hidden="1" customHeight="1" x14ac:dyDescent="0.25">
      <c r="A54" s="91" t="s">
        <v>182</v>
      </c>
      <c r="B54" s="92">
        <f>Vehicle!C29</f>
        <v>61233.163636363635</v>
      </c>
      <c r="C54" s="93">
        <f>Vehicle!C29</f>
        <v>61233.163636363635</v>
      </c>
    </row>
    <row r="55" spans="1:7" customFormat="1" ht="10.5" hidden="1" customHeight="1" x14ac:dyDescent="0.25">
      <c r="A55" s="63" t="s">
        <v>183</v>
      </c>
      <c r="B55" s="89">
        <f>Vehicle!C30</f>
        <v>3.5046453546453544</v>
      </c>
      <c r="C55" s="90">
        <f>Vehicle!C30</f>
        <v>3.5046453546453544</v>
      </c>
    </row>
    <row r="56" spans="1:7" customFormat="1" ht="14.25" customHeight="1" x14ac:dyDescent="0.25">
      <c r="A56" s="63" t="s">
        <v>184</v>
      </c>
      <c r="B56" s="94">
        <v>0.03</v>
      </c>
      <c r="C56" s="62">
        <f>B56</f>
        <v>0.03</v>
      </c>
    </row>
    <row r="57" spans="1:7" customFormat="1" ht="14.25" customHeight="1" x14ac:dyDescent="0.25">
      <c r="A57" s="364" t="s">
        <v>185</v>
      </c>
      <c r="B57" s="364"/>
      <c r="C57" s="364"/>
    </row>
    <row r="58" spans="1:7" customFormat="1" ht="14.25" customHeight="1" x14ac:dyDescent="0.3">
      <c r="A58" s="57" t="s">
        <v>186</v>
      </c>
      <c r="B58" s="95">
        <v>0.02</v>
      </c>
    </row>
    <row r="59" spans="1:7" customFormat="1" ht="14.25" customHeight="1" x14ac:dyDescent="0.3">
      <c r="A59" s="57" t="s">
        <v>187</v>
      </c>
      <c r="B59" s="95">
        <v>0.03</v>
      </c>
    </row>
    <row r="60" spans="1:7" customFormat="1" ht="14.25" customHeight="1" x14ac:dyDescent="0.3">
      <c r="A60" s="57" t="s">
        <v>188</v>
      </c>
      <c r="B60" s="95">
        <v>0.05</v>
      </c>
    </row>
    <row r="62" spans="1:7" customFormat="1" ht="15.75" hidden="1" customHeight="1" x14ac:dyDescent="0.25">
      <c r="A62" s="58" t="s">
        <v>189</v>
      </c>
    </row>
    <row r="63" spans="1:7" customFormat="1" ht="14.25" hidden="1" customHeight="1" x14ac:dyDescent="0.25">
      <c r="B63" s="96" t="s">
        <v>190</v>
      </c>
      <c r="C63" s="96" t="s">
        <v>191</v>
      </c>
      <c r="D63" s="96" t="s">
        <v>192</v>
      </c>
      <c r="E63" s="96" t="s">
        <v>193</v>
      </c>
      <c r="F63" s="96" t="s">
        <v>194</v>
      </c>
      <c r="G63" s="96" t="s">
        <v>195</v>
      </c>
    </row>
    <row r="64" spans="1:7" customFormat="1" ht="14.25" hidden="1" customHeight="1" x14ac:dyDescent="0.25">
      <c r="A64" s="63" t="s">
        <v>196</v>
      </c>
      <c r="B64" s="97" t="s">
        <v>197</v>
      </c>
      <c r="C64" s="97" t="s">
        <v>197</v>
      </c>
      <c r="D64" s="97" t="s">
        <v>197</v>
      </c>
      <c r="E64" s="97" t="s">
        <v>197</v>
      </c>
      <c r="F64" s="97" t="s">
        <v>197</v>
      </c>
      <c r="G64" s="97" t="s">
        <v>197</v>
      </c>
    </row>
    <row r="65" spans="1:7" customFormat="1" ht="14.25" hidden="1" customHeight="1" x14ac:dyDescent="0.25">
      <c r="A65" s="63" t="s">
        <v>198</v>
      </c>
      <c r="B65" s="67">
        <f>IFERROR($B$4,0)</f>
        <v>27.48</v>
      </c>
      <c r="C65" s="67">
        <f>IF(C64="Manual",IF(C66&lt;&gt;"",C66,$B$65*(1+'Option Year'!$B$4)^1),$B$65*(1+'Option Year'!$B$4)^1)</f>
        <v>28.304400000000001</v>
      </c>
      <c r="D65" s="67">
        <f>IF(D64="Manual",IF(D66&lt;&gt;"",D66,$B$65*(1+'Option Year'!$B$4)^2),$B$65*(1+'Option Year'!$B$4)^2)</f>
        <v>29.153531999999998</v>
      </c>
      <c r="E65" s="67">
        <f>IF(E64="Manual",IF(E66&lt;&gt;"",E66,$B$65*(1+'Option Year'!$B$4)^3),$B$65*(1+'Option Year'!$B$4)^3)</f>
        <v>30.028137960000002</v>
      </c>
      <c r="F65" s="67">
        <f>IF(F64="Manual",IF(F66&lt;&gt;"",F66,$B$65*(1+'Option Year'!$B$4)^4),$B$65*(1+'Option Year'!$B$4)^4)</f>
        <v>30.928982098799999</v>
      </c>
      <c r="G65" s="67">
        <f>IF(G64="Manual",IF(G66&lt;&gt;"",G66,$B$65*(1+'Option Year'!$B$4)^5),$B$65*(1+'Option Year'!$B$4)^5)</f>
        <v>31.856851561763996</v>
      </c>
    </row>
    <row r="66" spans="1:7" customFormat="1" ht="14.25" hidden="1" customHeight="1" x14ac:dyDescent="0.25">
      <c r="A66" s="63" t="s">
        <v>199</v>
      </c>
      <c r="B66" s="98"/>
      <c r="C66" s="98"/>
      <c r="D66" s="98"/>
      <c r="E66" s="98"/>
      <c r="F66" s="98"/>
      <c r="G66" s="98"/>
    </row>
    <row r="67" spans="1:7" customFormat="1" ht="14.25" hidden="1" customHeight="1" x14ac:dyDescent="0.3">
      <c r="A67" s="63" t="s">
        <v>200</v>
      </c>
      <c r="B67" s="99">
        <f>IFERROR(Appraisal_Full_Scope_Report!$F$11,0)</f>
        <v>336</v>
      </c>
      <c r="C67" s="99">
        <f>IF(C64="Manual",IF(C68&lt;&gt;"",C68,$B$67),$B$67)</f>
        <v>336</v>
      </c>
      <c r="D67" s="99">
        <f>IF(D64="Manual",IF(D68&lt;&gt;"",D68,$B$67),$B$67)</f>
        <v>336</v>
      </c>
      <c r="E67" s="99">
        <f>IF(E64="Manual",IF(E68&lt;&gt;"",E68,$B$67),$B$67)</f>
        <v>336</v>
      </c>
      <c r="F67" s="99">
        <f>IF(F64="Manual",IF(F68&lt;&gt;"",F68,$B$67),$B$67)</f>
        <v>336</v>
      </c>
      <c r="G67" s="99">
        <f>IF(G64="Manual",IF(G68&lt;&gt;"",G68,$B$67),$B$67)</f>
        <v>336</v>
      </c>
    </row>
    <row r="68" spans="1:7" customFormat="1" ht="14.25" hidden="1" customHeight="1" x14ac:dyDescent="0.25">
      <c r="A68" s="63" t="s">
        <v>201</v>
      </c>
      <c r="B68" s="100"/>
      <c r="C68" s="100"/>
      <c r="D68" s="100"/>
      <c r="E68" s="100"/>
      <c r="F68" s="100"/>
      <c r="G68" s="100"/>
    </row>
    <row r="69" spans="1:7" customFormat="1" ht="14.25" hidden="1" customHeight="1" x14ac:dyDescent="0.3">
      <c r="A69" s="63" t="s">
        <v>202</v>
      </c>
      <c r="B69" s="99">
        <f>IFERROR(Appraisal_Full_Scope_Report!$F$14,0)</f>
        <v>336</v>
      </c>
      <c r="C69" s="99">
        <f>IF(C64="Manual",IF(C70&lt;&gt;"",C70,$B$69),$B$69)</f>
        <v>336</v>
      </c>
      <c r="D69" s="99">
        <f>IF(D64="Manual",IF(D70&lt;&gt;"",D70,$B$69),$B$69)</f>
        <v>336</v>
      </c>
      <c r="E69" s="99">
        <f>IF(E64="Manual",IF(E70&lt;&gt;"",E70,$B$69),$B$69)</f>
        <v>336</v>
      </c>
      <c r="F69" s="99">
        <f>IF(F64="Manual",IF(F70&lt;&gt;"",F70,$B$69),$B$69)</f>
        <v>336</v>
      </c>
      <c r="G69" s="99">
        <f>IF(G64="Manual",IF(G70&lt;&gt;"",G70,$B$69),$B$69)</f>
        <v>336</v>
      </c>
    </row>
    <row r="70" spans="1:7" customFormat="1" ht="14.25" hidden="1" customHeight="1" x14ac:dyDescent="0.25">
      <c r="A70" s="63" t="s">
        <v>203</v>
      </c>
      <c r="B70" s="100"/>
      <c r="C70" s="100"/>
      <c r="D70" s="100"/>
      <c r="E70" s="100"/>
      <c r="F70" s="100"/>
      <c r="G70" s="100"/>
    </row>
    <row r="71" spans="1:7" customFormat="1" ht="14.25" hidden="1" customHeight="1" x14ac:dyDescent="0.3">
      <c r="A71" s="63" t="s">
        <v>204</v>
      </c>
      <c r="B71" s="99">
        <f>IFERROR(Appraisal_Full_Scope_Report!$F$15,0)</f>
        <v>17472</v>
      </c>
      <c r="C71" s="99">
        <f>IF(C64="Manual",IF(C72&lt;&gt;"",C72,IF(AND(C68&lt;&gt;"",C70&lt;&gt;""),C68*C70,IF(C68&lt;&gt;"",C68*$B$69,IF(C70&lt;&gt;"",$B$67*C70,$B$71)))),$B$71)</f>
        <v>17472</v>
      </c>
      <c r="D71" s="99">
        <f>IF(D64="Manual",IF(D72&lt;&gt;"",D72,IF(AND(D68&lt;&gt;"",D70&lt;&gt;""),D68*D70,IF(D68&lt;&gt;"",D68*$B$69,IF(D70&lt;&gt;"",$B$67*D70,$B$71)))),$B$71)</f>
        <v>17472</v>
      </c>
      <c r="E71" s="99">
        <f>IF(E64="Manual",IF(E72&lt;&gt;"",E72,IF(AND(E68&lt;&gt;"",E70&lt;&gt;""),E68*E70,IF(E68&lt;&gt;"",E68*$B$69,IF(E70&lt;&gt;"",$B$67*E70,$B$71)))),$B$71)</f>
        <v>17472</v>
      </c>
      <c r="F71" s="99">
        <f>IF(F64="Manual",IF(F72&lt;&gt;"",F72,IF(AND(F68&lt;&gt;"",F70&lt;&gt;""),F68*F70,IF(F68&lt;&gt;"",F68*$B$69,IF(F70&lt;&gt;"",$B$67*F70,$B$71)))),$B$71)</f>
        <v>17472</v>
      </c>
      <c r="G71" s="99">
        <f>IF(G64="Manual",IF(G72&lt;&gt;"",G72,IF(AND(G68&lt;&gt;"",G70&lt;&gt;""),G68*G70,IF(G68&lt;&gt;"",G68*$B$69,IF(G70&lt;&gt;"",$B$67*G70,$B$71)))),$B$71)</f>
        <v>17472</v>
      </c>
    </row>
    <row r="72" spans="1:7" customFormat="1" ht="14.25" hidden="1" customHeight="1" x14ac:dyDescent="0.25">
      <c r="A72" s="63" t="s">
        <v>205</v>
      </c>
      <c r="B72" s="100"/>
      <c r="C72" s="100"/>
      <c r="D72" s="100"/>
      <c r="E72" s="100"/>
      <c r="F72" s="100"/>
      <c r="G72" s="100"/>
    </row>
    <row r="73" spans="1:7" customFormat="1" ht="14.25" hidden="1" customHeight="1" x14ac:dyDescent="0.3">
      <c r="A73" s="63" t="s">
        <v>206</v>
      </c>
      <c r="B73" s="99">
        <f>IFERROR(Appraisal_Full_Scope_Report!$F$16,0)</f>
        <v>12</v>
      </c>
      <c r="C73" s="99">
        <f>IF(C64="Manual",IF(C74&lt;&gt;"",C74,IFERROR(C71/$B$5,0)),$B$73)</f>
        <v>12</v>
      </c>
      <c r="D73" s="99">
        <f>IF(D64="Manual",IF(D74&lt;&gt;"",D74,IFERROR(D71/$B$5,0)),$B$73)</f>
        <v>12</v>
      </c>
      <c r="E73" s="99">
        <f>IF(E64="Manual",IF(E74&lt;&gt;"",E74,IFERROR(E71/$B$5,0)),$B$73)</f>
        <v>12</v>
      </c>
      <c r="F73" s="99">
        <f>IF(F64="Manual",IF(F74&lt;&gt;"",F74,IFERROR(F71/$B$5,0)),$B$73)</f>
        <v>12</v>
      </c>
      <c r="G73" s="99">
        <f>IF(G64="Manual",IF(G74&lt;&gt;"",G74,IFERROR(G71/$B$5,0)),$B$73)</f>
        <v>12</v>
      </c>
    </row>
    <row r="74" spans="1:7" customFormat="1" ht="14.25" hidden="1" customHeight="1" x14ac:dyDescent="0.25">
      <c r="A74" s="63" t="s">
        <v>207</v>
      </c>
      <c r="B74" s="100"/>
      <c r="C74" s="100"/>
      <c r="D74" s="100"/>
      <c r="E74" s="100"/>
      <c r="F74" s="100"/>
      <c r="G74" s="100"/>
    </row>
    <row r="75" spans="1:7" customFormat="1" ht="189" hidden="1" customHeight="1" x14ac:dyDescent="0.3">
      <c r="A75" s="58" t="s">
        <v>208</v>
      </c>
      <c r="B75" s="101" t="s">
        <v>209</v>
      </c>
    </row>
  </sheetData>
  <mergeCells count="6">
    <mergeCell ref="A57:C57"/>
    <mergeCell ref="A1:E1"/>
    <mergeCell ref="A2:E2"/>
    <mergeCell ref="A3:C3"/>
    <mergeCell ref="A12:C12"/>
    <mergeCell ref="A33:C33"/>
  </mergeCells>
  <dataValidations count="5">
    <dataValidation type="decimal" operator="greaterThanOrEqual" allowBlank="1" errorTitle="Invalid input" error="Use a non-negative number." promptTitle="Input guidance" prompt="Enter a non-negative rate." sqref="B4 B11" xr:uid="{00000000-0002-0000-0300-000000000000}">
      <formula1>0</formula1>
      <formula2>0</formula2>
    </dataValidation>
    <dataValidation type="whole" operator="greaterThanOrEqual" allowBlank="1" errorTitle="Invalid input" error="Whole number required." promptTitle="Input guidance" prompt="Enter a non-negative whole number." sqref="B5:B6 B42 B44" xr:uid="{00000000-0002-0000-0300-000001000000}">
      <formula1>0</formula1>
      <formula2>0</formula2>
    </dataValidation>
    <dataValidation type="decimal" allowBlank="1" errorTitle="Invalid input" error="Use a value from 0 to 1." promptTitle="Input guidance" prompt="Enter a percentage between 0% and 100%." sqref="B7:B10 B13:B19 B23:B32 B35:B41 B43" xr:uid="{00000000-0002-0000-0300-000002000000}">
      <formula1>0</formula1>
      <formula2>1</formula2>
    </dataValidation>
    <dataValidation type="decimal" allowBlank="1" errorTitle="Invalid DON/DOFF input" error="Enter a value between 0 and 120 minutes." promptTitle="DON/DOFF minutes" prompt="Enter minutes per 8-hour shift (example: 15)." sqref="B21" xr:uid="{00000000-0002-0000-0300-000003000000}">
      <formula1>0</formula1>
      <formula2>120</formula2>
    </dataValidation>
    <dataValidation type="list" sqref="B64:G64" xr:uid="{00000000-0002-0000-0300-000004000000}">
      <formula1>"Auto,Manual"</formula1>
      <formula2>0</formula2>
    </dataValidation>
  </dataValidations>
  <pageMargins left="0.7" right="0.7" top="0.75" bottom="0.75" header="0.511811023622047" footer="0.511811023622047"/>
  <pageSetup paperSize="9" orientation="portrait" horizontalDpi="300" verticalDpi="300"/>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A1:K76"/>
  <sheetViews>
    <sheetView topLeftCell="A22" zoomScaleNormal="100" workbookViewId="0">
      <selection activeCell="G43" sqref="G43"/>
    </sheetView>
  </sheetViews>
  <sheetFormatPr defaultColWidth="8.6640625" defaultRowHeight="12.75" customHeight="1" x14ac:dyDescent="0.25"/>
  <cols>
    <col min="1" max="1" width="42" customWidth="1"/>
    <col min="2" max="3" width="18" customWidth="1"/>
    <col min="4" max="4" width="3" customWidth="1"/>
    <col min="5" max="5" width="45.5546875" customWidth="1"/>
    <col min="6" max="6" width="14" customWidth="1"/>
    <col min="7" max="7" width="16" customWidth="1"/>
    <col min="8" max="8" width="9" customWidth="1"/>
    <col min="9" max="9" width="14" hidden="1" customWidth="1"/>
    <col min="10" max="10" width="24" hidden="1" customWidth="1"/>
    <col min="11" max="11" width="32" hidden="1" customWidth="1"/>
  </cols>
  <sheetData>
    <row r="1" spans="1:3" ht="18" customHeight="1" x14ac:dyDescent="0.25">
      <c r="A1" s="360" t="s">
        <v>384</v>
      </c>
      <c r="B1" s="360"/>
      <c r="C1" s="360"/>
    </row>
    <row r="2" spans="1:3" ht="12.75" customHeight="1" x14ac:dyDescent="0.25">
      <c r="A2" s="361" t="s">
        <v>385</v>
      </c>
      <c r="B2" s="361"/>
      <c r="C2" s="361"/>
    </row>
    <row r="3" spans="1:3" ht="13.5" customHeight="1" x14ac:dyDescent="0.25">
      <c r="A3" s="123" t="s">
        <v>386</v>
      </c>
      <c r="B3" s="123" t="s">
        <v>387</v>
      </c>
      <c r="C3" s="123" t="s">
        <v>388</v>
      </c>
    </row>
    <row r="4" spans="1:3" ht="12.75" customHeight="1" x14ac:dyDescent="0.25">
      <c r="A4" s="58" t="s">
        <v>64</v>
      </c>
      <c r="B4" s="58"/>
      <c r="C4" s="58"/>
    </row>
    <row r="5" spans="1:3" ht="14.25" customHeight="1" x14ac:dyDescent="0.25">
      <c r="A5" s="165" t="str">
        <f>Direct_Labor!A4</f>
        <v>Base Consolidated Blended Direct Labor Wage</v>
      </c>
      <c r="B5" s="166">
        <f>Direct_Labor!C4</f>
        <v>33.74</v>
      </c>
      <c r="C5" s="167">
        <f>Direct_Labor!D4</f>
        <v>589505.28000000003</v>
      </c>
    </row>
    <row r="6" spans="1:3" ht="14.25" customHeight="1" x14ac:dyDescent="0.25">
      <c r="A6" s="63" t="str">
        <f>Direct_Labor!A5</f>
        <v xml:space="preserve">Locality Pay </v>
      </c>
      <c r="B6" s="167">
        <f>Direct_Labor!C5</f>
        <v>0</v>
      </c>
      <c r="C6" s="167">
        <f>Direct_Labor!D5</f>
        <v>0</v>
      </c>
    </row>
    <row r="7" spans="1:3" ht="14.25" customHeight="1" x14ac:dyDescent="0.25">
      <c r="A7" s="63" t="str">
        <f>Direct_Labor!A6</f>
        <v>Labor Market Adjustment</v>
      </c>
      <c r="B7" s="167">
        <f>Direct_Labor!C6</f>
        <v>0</v>
      </c>
      <c r="C7" s="167">
        <f>Direct_Labor!D6</f>
        <v>0</v>
      </c>
    </row>
    <row r="8" spans="1:3" ht="14.25" customHeight="1" x14ac:dyDescent="0.25">
      <c r="A8" s="63" t="str">
        <f>Direct_Labor!A7</f>
        <v>H&amp;W (Cash)</v>
      </c>
      <c r="B8" s="167">
        <f>Direct_Labor!C7</f>
        <v>4.22</v>
      </c>
      <c r="C8" s="167">
        <f>Direct_Labor!D7</f>
        <v>73731.839999999997</v>
      </c>
    </row>
    <row r="9" spans="1:3" ht="14.25" customHeight="1" x14ac:dyDescent="0.25">
      <c r="A9" s="63" t="str">
        <f>Direct_Labor!A8</f>
        <v>Shift Differential</v>
      </c>
      <c r="B9" s="167">
        <f>Direct_Labor!C8</f>
        <v>0</v>
      </c>
      <c r="C9" s="167">
        <f>Direct_Labor!D8</f>
        <v>0</v>
      </c>
    </row>
    <row r="10" spans="1:3" ht="14.25" customHeight="1" x14ac:dyDescent="0.25">
      <c r="A10" s="63" t="str">
        <f>Direct_Labor!A9</f>
        <v>OT/Holiday Premium</v>
      </c>
      <c r="B10" s="167">
        <f>Direct_Labor!C9</f>
        <v>2.6992000000000003</v>
      </c>
      <c r="C10" s="167">
        <f>Direct_Labor!D9</f>
        <v>47160.422400000003</v>
      </c>
    </row>
    <row r="11" spans="1:3" ht="14.25" customHeight="1" x14ac:dyDescent="0.25">
      <c r="A11" s="63" t="str">
        <f>Direct_Labor!A10</f>
        <v>DON/DOFF</v>
      </c>
      <c r="B11" s="167">
        <f>Direct_Labor!C10</f>
        <v>1.2706</v>
      </c>
      <c r="C11" s="167">
        <f>Direct_Labor!D10</f>
        <v>22199.923199999997</v>
      </c>
    </row>
    <row r="12" spans="1:3" ht="14.25" customHeight="1" x14ac:dyDescent="0.25">
      <c r="A12" s="165" t="str">
        <f>Direct_Labor!A11</f>
        <v>Total Direct Labor</v>
      </c>
      <c r="B12" s="166">
        <f>Direct_Labor!C11</f>
        <v>41.9298</v>
      </c>
      <c r="C12" s="167">
        <f>Direct_Labor!D11</f>
        <v>732597.4656</v>
      </c>
    </row>
    <row r="14" spans="1:3" ht="15.75" customHeight="1" x14ac:dyDescent="0.25">
      <c r="A14" s="58" t="s">
        <v>143</v>
      </c>
      <c r="B14" s="58"/>
      <c r="C14" s="58"/>
    </row>
    <row r="15" spans="1:3" ht="14.25" customHeight="1" x14ac:dyDescent="0.25">
      <c r="A15" s="63" t="str">
        <f>Direct_Labor!A17</f>
        <v>FICA / Medicare</v>
      </c>
      <c r="B15" s="167">
        <f>Direct_Labor!C17</f>
        <v>3.2076297</v>
      </c>
      <c r="C15" s="167">
        <f>Direct_Labor!D17</f>
        <v>56043.706118399998</v>
      </c>
    </row>
    <row r="16" spans="1:3" ht="14.25" customHeight="1" x14ac:dyDescent="0.25">
      <c r="A16" s="63" t="str">
        <f>Direct_Labor!A18</f>
        <v>FUTA</v>
      </c>
      <c r="B16" s="167">
        <f>Direct_Labor!C18</f>
        <v>0.25157879999999999</v>
      </c>
      <c r="C16" s="167">
        <f>Direct_Labor!D18</f>
        <v>4395.5847936</v>
      </c>
    </row>
    <row r="17" spans="1:3" ht="14.25" customHeight="1" x14ac:dyDescent="0.25">
      <c r="A17" s="63" t="str">
        <f>Direct_Labor!A19</f>
        <v>SUTA</v>
      </c>
      <c r="B17" s="167">
        <f>Direct_Labor!C19</f>
        <v>0.83859600000000001</v>
      </c>
      <c r="C17" s="167">
        <f>Direct_Labor!D19</f>
        <v>14651.949312000001</v>
      </c>
    </row>
    <row r="18" spans="1:3" ht="14.25" customHeight="1" x14ac:dyDescent="0.25">
      <c r="A18" s="63" t="str">
        <f>Direct_Labor!A20</f>
        <v>Workers Compensation</v>
      </c>
      <c r="B18" s="167">
        <f>Direct_Labor!C20</f>
        <v>0.67087680000000005</v>
      </c>
      <c r="C18" s="167">
        <f>Direct_Labor!D20</f>
        <v>11721.559449600001</v>
      </c>
    </row>
    <row r="19" spans="1:3" ht="14.25" customHeight="1" x14ac:dyDescent="0.25">
      <c r="A19" s="63" t="str">
        <f>Direct_Labor!A21</f>
        <v>Health &amp; Welfare</v>
      </c>
      <c r="B19" s="167">
        <f>Direct_Labor!C21</f>
        <v>0</v>
      </c>
      <c r="C19" s="167">
        <f>Direct_Labor!D21</f>
        <v>0</v>
      </c>
    </row>
    <row r="20" spans="1:3" ht="14.25" customHeight="1" x14ac:dyDescent="0.25">
      <c r="A20" s="63" t="str">
        <f>Direct_Labor!A22</f>
        <v>Vacation</v>
      </c>
      <c r="B20" s="167">
        <f>Direct_Labor!C22</f>
        <v>0.83859600000000001</v>
      </c>
      <c r="C20" s="167">
        <f>Direct_Labor!D22</f>
        <v>14651.949312000001</v>
      </c>
    </row>
    <row r="21" spans="1:3" ht="14.25" customHeight="1" x14ac:dyDescent="0.25">
      <c r="A21" s="63" t="str">
        <f>Direct_Labor!A23</f>
        <v>Paid Holidays</v>
      </c>
      <c r="B21" s="167">
        <f>Direct_Labor!C23</f>
        <v>1.677192</v>
      </c>
      <c r="C21" s="167">
        <f>Direct_Labor!D23</f>
        <v>29303.898624000001</v>
      </c>
    </row>
    <row r="22" spans="1:3" ht="14.25" customHeight="1" x14ac:dyDescent="0.25">
      <c r="A22" s="63" t="str">
        <f>Direct_Labor!A24</f>
        <v>Sick Leave</v>
      </c>
      <c r="B22" s="167">
        <f>Direct_Labor!C24</f>
        <v>1.1321045999999999</v>
      </c>
      <c r="C22" s="167">
        <f>Direct_Labor!D24</f>
        <v>19780.1315712</v>
      </c>
    </row>
    <row r="23" spans="1:3" ht="14.25" customHeight="1" x14ac:dyDescent="0.25">
      <c r="A23" s="63" t="str">
        <f>Direct_Labor!A25</f>
        <v>Total Fringe / Burden</v>
      </c>
      <c r="B23" s="167">
        <f>Direct_Labor!C25</f>
        <v>8.6165738999999988</v>
      </c>
      <c r="C23" s="167">
        <f>Direct_Labor!D25</f>
        <v>150548.77918079999</v>
      </c>
    </row>
    <row r="24" spans="1:3" ht="12.75" customHeight="1" x14ac:dyDescent="0.25">
      <c r="A24" s="165" t="str">
        <f>Direct_Labor!A26</f>
        <v>Total Direct Labor + Fringe</v>
      </c>
      <c r="B24" s="166">
        <f>Direct_Labor!C26</f>
        <v>50.546373899999999</v>
      </c>
      <c r="C24" s="167">
        <f>Direct_Labor!D26</f>
        <v>883146.24478079996</v>
      </c>
    </row>
    <row r="25" spans="1:3" ht="15.75" customHeight="1" x14ac:dyDescent="0.25">
      <c r="A25" s="58"/>
    </row>
    <row r="26" spans="1:3" ht="14.25" customHeight="1" x14ac:dyDescent="0.25">
      <c r="A26" s="58" t="s">
        <v>154</v>
      </c>
      <c r="B26" s="58"/>
      <c r="C26" s="58"/>
    </row>
    <row r="27" spans="1:3" ht="14.25" customHeight="1" x14ac:dyDescent="0.25">
      <c r="A27" s="63" t="str">
        <f>Direct_Labor!$A$30</f>
        <v>Recruiting / Hiring</v>
      </c>
      <c r="B27" s="167">
        <f>Direct_Labor!$C$30</f>
        <v>0</v>
      </c>
      <c r="C27" s="167">
        <f>Direct_Labor!$D$30</f>
        <v>0</v>
      </c>
    </row>
    <row r="28" spans="1:3" ht="14.25" customHeight="1" x14ac:dyDescent="0.25">
      <c r="A28" s="63" t="str">
        <f>Direct_Labor!$A$31</f>
        <v>Training / Certification</v>
      </c>
      <c r="B28" s="167">
        <f>Direct_Labor!$C$31</f>
        <v>0.62894700000000003</v>
      </c>
      <c r="C28" s="167">
        <f>Direct_Labor!$D$31</f>
        <v>10988.961984000001</v>
      </c>
    </row>
    <row r="29" spans="1:3" ht="14.25" customHeight="1" x14ac:dyDescent="0.25">
      <c r="A29" s="63" t="str">
        <f>Direct_Labor!$A$32</f>
        <v>Uniforms / Equipment</v>
      </c>
      <c r="B29" s="167">
        <f>Direct_Labor!$C$32</f>
        <v>1.1071394230769229</v>
      </c>
      <c r="C29" s="167">
        <f>Direct_Labor!$D$32</f>
        <v>19343.939999999999</v>
      </c>
    </row>
    <row r="30" spans="1:3" ht="14.25" customHeight="1" x14ac:dyDescent="0.25">
      <c r="A30" s="63" t="str">
        <f>Direct_Labor!$A$33</f>
        <v>Field Supervision</v>
      </c>
      <c r="B30" s="167">
        <f>Direct_Labor!$C$33</f>
        <v>0</v>
      </c>
      <c r="C30" s="167">
        <f>Direct_Labor!$D$33</f>
        <v>0</v>
      </c>
    </row>
    <row r="31" spans="1:3" ht="14.25" customHeight="1" x14ac:dyDescent="0.25">
      <c r="A31" s="63" t="str">
        <f>Direct_Labor!$A$34</f>
        <v>Contract Management</v>
      </c>
      <c r="B31" s="167">
        <f>Direct_Labor!$C$34</f>
        <v>0</v>
      </c>
      <c r="C31" s="167">
        <f>Direct_Labor!$D$34</f>
        <v>0</v>
      </c>
    </row>
    <row r="32" spans="1:3" ht="14.25" customHeight="1" x14ac:dyDescent="0.25">
      <c r="A32" s="63" t="str">
        <f>Direct_Labor!$A$35</f>
        <v>Quality Assurance</v>
      </c>
      <c r="B32" s="167">
        <f>Direct_Labor!$C$35</f>
        <v>0</v>
      </c>
      <c r="C32" s="167">
        <f>Direct_Labor!$D$35</f>
        <v>0</v>
      </c>
    </row>
    <row r="33" spans="1:3" ht="14.25" customHeight="1" x14ac:dyDescent="0.25">
      <c r="A33" s="63" t="str">
        <f>Direct_Labor!$A$36</f>
        <v>Vehicles / Patrol</v>
      </c>
      <c r="B33" s="167">
        <f>Direct_Labor!$C$36</f>
        <v>3.5046453546453544</v>
      </c>
      <c r="C33" s="167">
        <f>Direct_Labor!$D$36</f>
        <v>61233.163636363635</v>
      </c>
    </row>
    <row r="34" spans="1:3" ht="14.25" customHeight="1" x14ac:dyDescent="0.25">
      <c r="A34" s="63" t="str">
        <f>Direct_Labor!$A$37</f>
        <v>Technology / Systems</v>
      </c>
      <c r="B34" s="167">
        <f>Direct_Labor!$C$37</f>
        <v>0.419298</v>
      </c>
      <c r="C34" s="167">
        <f>Direct_Labor!$D$37</f>
        <v>7325.9746560000003</v>
      </c>
    </row>
    <row r="35" spans="1:3" ht="14.25" customHeight="1" x14ac:dyDescent="0.25">
      <c r="A35" s="63" t="str">
        <f>Direct_Labor!$A$38</f>
        <v>General Liability Insurance</v>
      </c>
      <c r="B35" s="167">
        <f>Direct_Labor!$C$38</f>
        <v>3.7401381599999999</v>
      </c>
      <c r="C35" s="167">
        <f>Direct_Labor!$D$38</f>
        <v>65347.69393152</v>
      </c>
    </row>
    <row r="36" spans="1:3" ht="14.25" customHeight="1" x14ac:dyDescent="0.25">
      <c r="A36" s="63" t="str">
        <f>Direct_Labor!$A$39</f>
        <v>Umbrella / Other Insurance</v>
      </c>
      <c r="B36" s="167">
        <f>Direct_Labor!$C$39</f>
        <v>0.31447350000000002</v>
      </c>
      <c r="C36" s="167">
        <f>Direct_Labor!$D$39</f>
        <v>5494.4809920000007</v>
      </c>
    </row>
    <row r="37" spans="1:3" ht="12.75" customHeight="1" x14ac:dyDescent="0.25">
      <c r="A37" s="165" t="str">
        <f>Direct_Labor!$A$40</f>
        <v>Total Operations / Support</v>
      </c>
      <c r="B37" s="166">
        <f>Direct_Labor!$C$40</f>
        <v>9.7146414377222783</v>
      </c>
      <c r="C37" s="167">
        <f>Direct_Labor!$D$40</f>
        <v>169734.21519988365</v>
      </c>
    </row>
    <row r="38" spans="1:3" ht="15.75" customHeight="1" x14ac:dyDescent="0.25">
      <c r="A38" s="58"/>
    </row>
    <row r="39" spans="1:3" ht="14.25" customHeight="1" x14ac:dyDescent="0.25">
      <c r="A39" s="58" t="s">
        <v>70</v>
      </c>
      <c r="B39" s="58"/>
      <c r="C39" s="58"/>
    </row>
    <row r="40" spans="1:3" ht="14.25" customHeight="1" x14ac:dyDescent="0.25">
      <c r="A40" s="63" t="str">
        <f>Direct_Labor!$A$45</f>
        <v>Administrative / HR / Payroll</v>
      </c>
      <c r="B40" s="167">
        <f>Direct_Labor!$C$45</f>
        <v>0</v>
      </c>
      <c r="C40" s="167">
        <f>Direct_Labor!$D$45</f>
        <v>0</v>
      </c>
    </row>
    <row r="41" spans="1:3" ht="14.25" customHeight="1" x14ac:dyDescent="0.25">
      <c r="A41" s="63" t="str">
        <f>Direct_Labor!$A$46</f>
        <v>Accounting / Legal</v>
      </c>
      <c r="B41" s="167">
        <f>Direct_Labor!$C$46</f>
        <v>0</v>
      </c>
      <c r="C41" s="167">
        <f>Direct_Labor!$D$46</f>
        <v>0</v>
      </c>
    </row>
    <row r="42" spans="1:3" ht="14.25" customHeight="1" x14ac:dyDescent="0.25">
      <c r="A42" s="63" t="str">
        <f>Direct_Labor!$A$47</f>
        <v>Corporate Overhead</v>
      </c>
      <c r="B42" s="167">
        <f>Direct_Labor!$C$47</f>
        <v>4.1929800000000004</v>
      </c>
      <c r="C42" s="167">
        <f>Direct_Labor!$D$47</f>
        <v>73259.74656</v>
      </c>
    </row>
    <row r="43" spans="1:3" ht="14.25" customHeight="1" x14ac:dyDescent="0.25">
      <c r="A43" s="63" t="str">
        <f>Direct_Labor!$A$48</f>
        <v>G&amp;A</v>
      </c>
      <c r="B43" s="167">
        <f>Direct_Labor!$C$48</f>
        <v>3.354384</v>
      </c>
      <c r="C43" s="167">
        <f>Direct_Labor!$D$48</f>
        <v>58607.797248000003</v>
      </c>
    </row>
    <row r="44" spans="1:3" ht="14.25" customHeight="1" x14ac:dyDescent="0.25">
      <c r="A44" s="63" t="str">
        <f>Direct_Labor!$A$49</f>
        <v>Profit / Fee</v>
      </c>
      <c r="B44" s="167">
        <f>Direct_Labor!$C$49</f>
        <v>19.106529334199998</v>
      </c>
      <c r="C44" s="167">
        <f>Direct_Labor!$D$49</f>
        <v>333829.28052714234</v>
      </c>
    </row>
    <row r="45" spans="1:3" ht="12.75" customHeight="1" x14ac:dyDescent="0.25">
      <c r="A45" s="165" t="str">
        <f>Direct_Labor!$A$50</f>
        <v>Total Overhead / G&amp;A / Profit</v>
      </c>
      <c r="B45" s="166">
        <f>Direct_Labor!$C$50</f>
        <v>26.653893334199999</v>
      </c>
      <c r="C45" s="167">
        <f>Direct_Labor!$D$50</f>
        <v>465696.82433514233</v>
      </c>
    </row>
    <row r="46" spans="1:3" ht="14.25" customHeight="1" x14ac:dyDescent="0.25">
      <c r="A46" s="140"/>
      <c r="B46" s="141"/>
      <c r="C46" s="141"/>
    </row>
    <row r="47" spans="1:3" ht="28.5" customHeight="1" x14ac:dyDescent="0.25">
      <c r="A47" s="58" t="s">
        <v>389</v>
      </c>
      <c r="B47" s="58"/>
      <c r="C47" s="58"/>
    </row>
    <row r="48" spans="1:3" ht="13.5" customHeight="1" x14ac:dyDescent="0.25">
      <c r="A48" s="63" t="s">
        <v>183</v>
      </c>
      <c r="B48" s="167">
        <f>Vehicle!$C$30</f>
        <v>3.5046453546453544</v>
      </c>
      <c r="C48" s="167">
        <f>Vehicle!$C$29</f>
        <v>61233.163636363635</v>
      </c>
    </row>
    <row r="49" spans="1:11" ht="14.25" customHeight="1" x14ac:dyDescent="0.25">
      <c r="A49" s="63" t="s">
        <v>304</v>
      </c>
      <c r="B49" s="167">
        <f>Uniform_Equipment!$C$36</f>
        <v>1.1071394230769229</v>
      </c>
      <c r="C49" s="167">
        <f>Uniform_Equipment!$C$35</f>
        <v>19343.939999999999</v>
      </c>
      <c r="E49" s="360" t="s">
        <v>390</v>
      </c>
      <c r="F49" s="360"/>
      <c r="G49" s="360"/>
      <c r="H49" s="360"/>
      <c r="I49" s="360"/>
      <c r="J49" s="360"/>
      <c r="K49" s="360"/>
    </row>
    <row r="50" spans="1:11" ht="14.25" customHeight="1" x14ac:dyDescent="0.25">
      <c r="A50" s="63" t="s">
        <v>391</v>
      </c>
      <c r="B50" s="167">
        <f>IFERROR((SUMPRODUCT(Training_Module!$B$2:$B$8,Training_Module!$D$2:$D$8,Training_Module!$E$2:$E$8)+SUM(Training_Module!$F$2:$F$8)+SUM(Training_Module!$G$2:$G$8))/_Calc_Backend!$X$37,0)</f>
        <v>2.2161172161172167</v>
      </c>
      <c r="C50" s="167">
        <f>SUMPRODUCT(Training_Module!$B$2:$B$8,Training_Module!$D$2:$D$8,Training_Module!$E$2:$E$8)+SUM(Training_Module!$F$2:$F$8)+SUM(Training_Module!$G$2:$G$8)</f>
        <v>38720.000000000007</v>
      </c>
      <c r="E50" s="361" t="s">
        <v>132</v>
      </c>
      <c r="F50" s="361"/>
      <c r="G50" s="361"/>
      <c r="H50" s="361"/>
      <c r="I50" s="361"/>
      <c r="J50" s="361"/>
      <c r="K50" s="361"/>
    </row>
    <row r="51" spans="1:11" ht="15.75" customHeight="1" x14ac:dyDescent="0.25">
      <c r="E51" s="362" t="s">
        <v>392</v>
      </c>
      <c r="F51" s="362"/>
      <c r="G51" s="362"/>
      <c r="H51" s="362"/>
      <c r="I51" s="59"/>
      <c r="J51" s="59"/>
    </row>
    <row r="52" spans="1:11" ht="14.25" customHeight="1" x14ac:dyDescent="0.25">
      <c r="A52" s="140" t="s">
        <v>393</v>
      </c>
      <c r="B52" s="168">
        <f>Direct_Labor!$C$52</f>
        <v>86.914908671922277</v>
      </c>
      <c r="C52" s="168">
        <f>Direct_Labor!$D$52</f>
        <v>1518577.2843158259</v>
      </c>
      <c r="E52" s="63" t="s">
        <v>394</v>
      </c>
      <c r="F52" s="167">
        <f>Government_TCO!B8</f>
        <v>129.97639002857142</v>
      </c>
      <c r="G52" s="169">
        <f>IFERROR(F52*Appraisal_Full_Scope_Report!F15,"")</f>
        <v>2270947.4865791998</v>
      </c>
    </row>
    <row r="53" spans="1:11" ht="14.25" customHeight="1" x14ac:dyDescent="0.25">
      <c r="A53" s="63" t="s">
        <v>395</v>
      </c>
      <c r="B53" s="167">
        <f>Vendor_Pricing!$B$5</f>
        <v>90.983473019999991</v>
      </c>
      <c r="C53" s="167">
        <f>Vendor_Pricing!$B$5*Appraisal_Full_Scope_Report!$F$15</f>
        <v>1589663.2406054398</v>
      </c>
      <c r="E53" s="63" t="s">
        <v>396</v>
      </c>
      <c r="F53" s="170">
        <f>Vendor_Pricing!B6</f>
        <v>63.688431113999989</v>
      </c>
      <c r="G53" s="171">
        <f>IFERROR(F53*Appraisal_Full_Scope_Report!F15,"")</f>
        <v>1112764.2684238078</v>
      </c>
    </row>
    <row r="54" spans="1:11" ht="14.25" hidden="1" customHeight="1" x14ac:dyDescent="0.25">
      <c r="A54" s="63" t="s">
        <v>397</v>
      </c>
      <c r="B54" s="167">
        <f>B52-B53</f>
        <v>-4.0685643480777145</v>
      </c>
      <c r="C54" s="167">
        <f>C52-C53</f>
        <v>-71085.956289613852</v>
      </c>
      <c r="E54" s="140" t="s">
        <v>398</v>
      </c>
      <c r="F54" s="172">
        <f>Vendor_Pricing!B7</f>
        <v>77.335952066999994</v>
      </c>
      <c r="G54" s="173">
        <f>IFERROR(F54*Appraisal_Full_Scope_Report!F15,"")</f>
        <v>1351213.7545146239</v>
      </c>
    </row>
    <row r="55" spans="1:11" ht="15" hidden="1" customHeight="1" x14ac:dyDescent="0.25">
      <c r="A55" s="63" t="s">
        <v>399</v>
      </c>
      <c r="B55" s="167">
        <f>B53-B52</f>
        <v>4.0685643480777145</v>
      </c>
      <c r="C55" s="167">
        <f>C53-C52</f>
        <v>71085.956289613852</v>
      </c>
      <c r="E55" s="140" t="s">
        <v>400</v>
      </c>
      <c r="F55" s="174">
        <f>Vendor_Pricing!B8</f>
        <v>90.983473019999991</v>
      </c>
      <c r="G55" s="175">
        <f>IFERROR(F55*Appraisal_Full_Scope_Report!F15,"")</f>
        <v>1589663.2406054398</v>
      </c>
    </row>
    <row r="56" spans="1:11" ht="12.75" hidden="1" customHeight="1" x14ac:dyDescent="0.25">
      <c r="A56" s="63" t="s">
        <v>401</v>
      </c>
      <c r="B56" s="176">
        <f>IF(ABS(B52-Direct_Labor!$C$52)&lt;0.01,0,1)</f>
        <v>0</v>
      </c>
      <c r="C56" s="176">
        <f>IF(ABS(C52-Direct_Labor!$D$52)&lt;1,0,1)</f>
        <v>0</v>
      </c>
    </row>
    <row r="57" spans="1:11" ht="12.75" hidden="1" customHeight="1" x14ac:dyDescent="0.25">
      <c r="E57" s="362" t="s">
        <v>402</v>
      </c>
      <c r="F57" s="362"/>
      <c r="G57" s="362"/>
      <c r="H57" s="362"/>
      <c r="I57" s="362"/>
      <c r="J57" s="362"/>
      <c r="K57" s="362"/>
    </row>
    <row r="58" spans="1:11" ht="13.5" hidden="1" customHeight="1" x14ac:dyDescent="0.25">
      <c r="E58" s="123" t="s">
        <v>403</v>
      </c>
      <c r="F58" s="124" t="s">
        <v>404</v>
      </c>
      <c r="G58" s="124" t="s">
        <v>388</v>
      </c>
      <c r="H58" s="124" t="s">
        <v>405</v>
      </c>
      <c r="I58" s="124" t="s">
        <v>406</v>
      </c>
      <c r="J58" s="124" t="s">
        <v>407</v>
      </c>
      <c r="K58" s="124" t="s">
        <v>408</v>
      </c>
    </row>
    <row r="59" spans="1:11" ht="13.5" hidden="1" customHeight="1" x14ac:dyDescent="0.25">
      <c r="E59" s="127" t="str">
        <f>Vendor_Pricing!A15</f>
        <v>Vendor 1</v>
      </c>
      <c r="F59" s="177">
        <f>Vendor_Pricing!B15</f>
        <v>35</v>
      </c>
      <c r="G59" s="178">
        <f>IF(B11="","",B11*Appraisal_Full_Scope_Report!$F$15)</f>
        <v>22199.923199999997</v>
      </c>
      <c r="H59" s="177">
        <f>IF(B11="","",B11-$B$4)</f>
        <v>1.2706</v>
      </c>
      <c r="I59" s="77" t="str">
        <f>IFERROR(D11/$B$4,"")</f>
        <v/>
      </c>
      <c r="J59" s="179" t="str">
        <f>Vendor_Pricing!E15</f>
        <v>Below Floor</v>
      </c>
      <c r="K59" s="179" t="str">
        <f>IF(B11="","",IF(B11&lt;$B$5,"Below reserved should-cost floor",IF(B11&lt;=$B$6,"Within target range",IF(B11&lt;=$B$7,"Above target but within TCO ceiling","Above TCO ceiling"))))</f>
        <v>Below reserved should-cost floor</v>
      </c>
    </row>
    <row r="60" spans="1:11" ht="13.5" hidden="1" customHeight="1" x14ac:dyDescent="0.25">
      <c r="E60" s="127" t="str">
        <f>Vendor_Pricing!A16</f>
        <v>Vendor 2</v>
      </c>
      <c r="F60" s="177">
        <f>Vendor_Pricing!B16</f>
        <v>37</v>
      </c>
      <c r="G60" s="178">
        <f>IF(B12="","",B12*Appraisal_Full_Scope_Report!$F$15)</f>
        <v>732597.4656</v>
      </c>
      <c r="H60" s="177">
        <f>IF(B12="","",B12-$B$4)</f>
        <v>41.9298</v>
      </c>
      <c r="I60" s="77" t="str">
        <f>IFERROR(D12/$B$4,"")</f>
        <v/>
      </c>
      <c r="J60" s="179" t="str">
        <f>Vendor_Pricing!E16</f>
        <v>Below Floor</v>
      </c>
      <c r="K60" s="179" t="str">
        <f>IF(B12="","",IF(B12&lt;$B$5,"Below reserved should-cost floor",IF(B12&lt;=$B$6,"Within target range",IF(B12&lt;=$B$7,"Above target but within TCO ceiling","Above TCO ceiling"))))</f>
        <v>Above TCO ceiling</v>
      </c>
    </row>
    <row r="61" spans="1:11" ht="13.5" hidden="1" customHeight="1" x14ac:dyDescent="0.25">
      <c r="E61" s="127" t="str">
        <f>Vendor_Pricing!A17</f>
        <v>Vendor 3</v>
      </c>
      <c r="F61" s="177">
        <f>Vendor_Pricing!B17</f>
        <v>41</v>
      </c>
      <c r="G61" s="178" t="str">
        <f>IF(B13="","",B13*Appraisal_Full_Scope_Report!$F$15)</f>
        <v/>
      </c>
      <c r="H61" s="177" t="str">
        <f>IF(B13="","",B13-$B$4)</f>
        <v/>
      </c>
      <c r="I61" s="77" t="str">
        <f>IFERROR(D13/$B$4,"")</f>
        <v/>
      </c>
      <c r="J61" s="179" t="str">
        <f>Vendor_Pricing!E17</f>
        <v>Below Floor</v>
      </c>
      <c r="K61" s="179" t="str">
        <f>IF(B13="","",IF(B13&lt;$B$5,"Below reserved should-cost floor",IF(B13&lt;=$B$6,"Within target range",IF(B13&lt;=$B$7,"Above target but within TCO ceiling","Above TCO ceiling"))))</f>
        <v/>
      </c>
    </row>
    <row r="62" spans="1:11" ht="13.5" hidden="1" customHeight="1" x14ac:dyDescent="0.25">
      <c r="E62" s="63" t="str">
        <f>Vendor_Pricing!A18</f>
        <v>Vendor 4</v>
      </c>
      <c r="F62" s="177">
        <f>Vendor_Pricing!B18</f>
        <v>42</v>
      </c>
      <c r="G62" s="178" t="str">
        <f>IF(B14="","",B14*Appraisal_Full_Scope_Report!$F$15)</f>
        <v/>
      </c>
      <c r="H62" s="177" t="str">
        <f>IF(B14="","",B14-$B$4)</f>
        <v/>
      </c>
      <c r="I62" s="77" t="str">
        <f>IFERROR(D14/$B$4,"")</f>
        <v/>
      </c>
      <c r="J62" s="179" t="str">
        <f>Vendor_Pricing!E18</f>
        <v>Below Floor</v>
      </c>
      <c r="K62" s="179" t="str">
        <f>IF(B14="","",IF(B14&lt;$B$5,"Below reserved should-cost floor",IF(B14&lt;=$B$6,"Within target range",IF(B14&lt;=$B$7,"Above target but within TCO ceiling","Above TCO ceiling"))))</f>
        <v/>
      </c>
    </row>
    <row r="63" spans="1:11" ht="13.5" hidden="1" customHeight="1" x14ac:dyDescent="0.25">
      <c r="E63" s="63" t="str">
        <f>Vendor_Pricing!A19</f>
        <v>Vendor 5</v>
      </c>
      <c r="F63" s="177">
        <f>Vendor_Pricing!B19</f>
        <v>50</v>
      </c>
      <c r="G63" s="178">
        <f>IF(B15="","",B15*Appraisal_Full_Scope_Report!$F$15)</f>
        <v>56043.706118399998</v>
      </c>
      <c r="H63" s="177">
        <f>IF(B15="","",B15-$B$4)</f>
        <v>3.2076297</v>
      </c>
      <c r="I63" s="77" t="str">
        <f>IFERROR(D15/$B$4,"")</f>
        <v/>
      </c>
      <c r="J63" s="179" t="str">
        <f>Vendor_Pricing!E19</f>
        <v>Below Floor</v>
      </c>
      <c r="K63" s="179" t="str">
        <f>IF(B15="","",IF(B15&lt;$B$5,"Below reserved should-cost floor",IF(B15&lt;=$B$6,"Within target range",IF(B15&lt;=$B$7,"Above target but within TCO ceiling","Above TCO ceiling"))))</f>
        <v>Below reserved should-cost floor</v>
      </c>
    </row>
    <row r="64" spans="1:11" ht="14.25" hidden="1" customHeight="1" x14ac:dyDescent="0.25">
      <c r="E64" s="180"/>
      <c r="F64" s="181"/>
      <c r="G64" s="181"/>
      <c r="H64" s="182"/>
      <c r="I64" s="180"/>
      <c r="J64" s="180"/>
    </row>
    <row r="65" spans="5:10" ht="14.25" hidden="1" customHeight="1" x14ac:dyDescent="0.25">
      <c r="E65" s="74"/>
      <c r="F65" s="183"/>
      <c r="G65" s="183"/>
      <c r="H65" s="184"/>
      <c r="I65" s="74"/>
      <c r="J65" s="74"/>
    </row>
    <row r="66" spans="5:10" ht="14.25" hidden="1" customHeight="1" x14ac:dyDescent="0.25">
      <c r="E66" s="85" t="s">
        <v>409</v>
      </c>
      <c r="F66" s="185" t="s">
        <v>410</v>
      </c>
      <c r="G66" s="183"/>
      <c r="H66" s="184"/>
      <c r="I66" s="74"/>
      <c r="J66" s="74"/>
    </row>
    <row r="67" spans="5:10" ht="12.75" hidden="1" customHeight="1" x14ac:dyDescent="0.25"/>
    <row r="68" spans="5:10" ht="12.75" hidden="1" customHeight="1" x14ac:dyDescent="0.25"/>
    <row r="69" spans="5:10" ht="12.75" hidden="1" customHeight="1" x14ac:dyDescent="0.25"/>
    <row r="70" spans="5:10" ht="12.75" hidden="1" customHeight="1" x14ac:dyDescent="0.25"/>
    <row r="71" spans="5:10" ht="12.75" hidden="1" customHeight="1" x14ac:dyDescent="0.25"/>
    <row r="72" spans="5:10" ht="12.75" hidden="1" customHeight="1" x14ac:dyDescent="0.25"/>
    <row r="73" spans="5:10" ht="12.75" hidden="1" customHeight="1" x14ac:dyDescent="0.25"/>
    <row r="74" spans="5:10" ht="12.75" hidden="1" customHeight="1" x14ac:dyDescent="0.25"/>
    <row r="75" spans="5:10" ht="12.75" hidden="1" customHeight="1" x14ac:dyDescent="0.25"/>
    <row r="76" spans="5:10" ht="12.75" hidden="1" customHeight="1" x14ac:dyDescent="0.25"/>
  </sheetData>
  <mergeCells count="6">
    <mergeCell ref="E57:K57"/>
    <mergeCell ref="A1:C1"/>
    <mergeCell ref="A2:C2"/>
    <mergeCell ref="E49:K49"/>
    <mergeCell ref="E50:K50"/>
    <mergeCell ref="E51:H51"/>
  </mergeCells>
  <pageMargins left="0.7" right="0.7" top="0.75" bottom="0.75" header="0.511811023622047" footer="0.511811023622047"/>
  <pageSetup paperSize="9" orientation="portrait" horizontalDpi="300" verticalDpi="30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S12"/>
  <sheetViews>
    <sheetView zoomScaleNormal="100" workbookViewId="0">
      <selection activeCell="F23" sqref="F23"/>
    </sheetView>
  </sheetViews>
  <sheetFormatPr defaultColWidth="8.6640625" defaultRowHeight="12.75" customHeight="1" x14ac:dyDescent="0.25"/>
  <cols>
    <col min="1" max="1" width="26" customWidth="1"/>
    <col min="2" max="2" width="12" customWidth="1"/>
    <col min="3" max="3" width="14" customWidth="1"/>
    <col min="4" max="4" width="16" customWidth="1"/>
    <col min="5" max="5" width="15" customWidth="1"/>
    <col min="6" max="6" width="16" customWidth="1"/>
    <col min="7" max="7" width="15" customWidth="1"/>
    <col min="8" max="8" width="16" customWidth="1"/>
    <col min="9" max="9" width="17" customWidth="1"/>
    <col min="10" max="10" width="3" customWidth="1"/>
    <col min="11" max="11" width="18" hidden="1" customWidth="1"/>
    <col min="12" max="12" width="14" customWidth="1"/>
    <col min="13" max="15" width="14" hidden="1" customWidth="1"/>
    <col min="16" max="18" width="13" hidden="1" customWidth="1"/>
    <col min="19" max="19" width="13" customWidth="1"/>
  </cols>
  <sheetData>
    <row r="1" spans="1:19" ht="27.75" customHeight="1" x14ac:dyDescent="0.25">
      <c r="A1" s="102" t="s">
        <v>210</v>
      </c>
      <c r="B1" s="102" t="s">
        <v>211</v>
      </c>
      <c r="C1" s="102" t="s">
        <v>212</v>
      </c>
      <c r="D1" s="102" t="s">
        <v>213</v>
      </c>
      <c r="E1" s="102" t="s">
        <v>214</v>
      </c>
      <c r="F1" s="102" t="s">
        <v>215</v>
      </c>
      <c r="G1" s="102" t="s">
        <v>216</v>
      </c>
      <c r="H1" s="102" t="s">
        <v>217</v>
      </c>
      <c r="I1" s="102" t="s">
        <v>218</v>
      </c>
      <c r="J1" s="103"/>
      <c r="K1" s="104" t="s">
        <v>219</v>
      </c>
      <c r="L1" s="104" t="s">
        <v>220</v>
      </c>
      <c r="M1" s="104" t="s">
        <v>214</v>
      </c>
      <c r="N1" s="104" t="s">
        <v>216</v>
      </c>
      <c r="O1" s="104" t="s">
        <v>61</v>
      </c>
      <c r="P1" s="104" t="s">
        <v>221</v>
      </c>
      <c r="Q1" s="104" t="s">
        <v>222</v>
      </c>
      <c r="R1" s="104" t="s">
        <v>215</v>
      </c>
      <c r="S1" s="104" t="s">
        <v>223</v>
      </c>
    </row>
    <row r="2" spans="1:19" ht="24" customHeight="1" x14ac:dyDescent="0.25">
      <c r="A2" s="105" t="s">
        <v>224</v>
      </c>
      <c r="B2" s="106">
        <f t="shared" ref="B2:B11" si="0">+P2</f>
        <v>6</v>
      </c>
      <c r="C2" s="107">
        <f t="shared" ref="C2:C11" si="1">+L2</f>
        <v>27.48</v>
      </c>
      <c r="D2" s="106">
        <f t="shared" ref="D2:D11" si="2">+Q2</f>
        <v>168</v>
      </c>
      <c r="E2" s="108">
        <f t="shared" ref="E2:E11" si="3">+M2</f>
        <v>4616.6400000000003</v>
      </c>
      <c r="F2" s="106">
        <f t="shared" ref="F2:F11" si="4">+R2</f>
        <v>728</v>
      </c>
      <c r="G2" s="108">
        <f t="shared" ref="G2:G11" si="5">+N2</f>
        <v>20005.439999999999</v>
      </c>
      <c r="H2" s="106">
        <f t="shared" ref="H2:H11" si="6">+S2</f>
        <v>8736</v>
      </c>
      <c r="I2" s="108">
        <f t="shared" ref="I2:I11" si="7">+O2</f>
        <v>240065.28</v>
      </c>
      <c r="J2" s="103"/>
      <c r="K2" s="109" t="s">
        <v>225</v>
      </c>
      <c r="L2" s="110">
        <v>27.48</v>
      </c>
      <c r="M2" s="111">
        <f t="shared" ref="M2:M11" si="8">+$L2*$Q2</f>
        <v>4616.6400000000003</v>
      </c>
      <c r="N2" s="111">
        <f t="shared" ref="N2:N11" si="9">+$L2*$R2</f>
        <v>20005.439999999999</v>
      </c>
      <c r="O2" s="111">
        <f t="shared" ref="O2:O11" si="10">+$L2*$S2</f>
        <v>240065.28</v>
      </c>
      <c r="P2" s="112">
        <f>+Q2/28</f>
        <v>6</v>
      </c>
      <c r="Q2" s="112">
        <f t="shared" ref="Q2:Q12" si="11">+S2/52</f>
        <v>168</v>
      </c>
      <c r="R2" s="112">
        <f t="shared" ref="R2:R11" si="12">+S2/12</f>
        <v>728</v>
      </c>
      <c r="S2" s="113">
        <v>8736</v>
      </c>
    </row>
    <row r="3" spans="1:19" ht="24" customHeight="1" x14ac:dyDescent="0.25">
      <c r="A3" s="105" t="s">
        <v>226</v>
      </c>
      <c r="B3" s="106">
        <f t="shared" si="0"/>
        <v>6.2686567164179099</v>
      </c>
      <c r="C3" s="107">
        <f t="shared" si="1"/>
        <v>40</v>
      </c>
      <c r="D3" s="106">
        <f t="shared" si="2"/>
        <v>168</v>
      </c>
      <c r="E3" s="108">
        <f t="shared" si="3"/>
        <v>6720</v>
      </c>
      <c r="F3" s="106">
        <f t="shared" si="4"/>
        <v>728</v>
      </c>
      <c r="G3" s="108">
        <f t="shared" si="5"/>
        <v>29120</v>
      </c>
      <c r="H3" s="106">
        <f t="shared" si="6"/>
        <v>8736</v>
      </c>
      <c r="I3" s="108">
        <f t="shared" si="7"/>
        <v>349440</v>
      </c>
      <c r="J3" s="103"/>
      <c r="K3" s="109" t="s">
        <v>227</v>
      </c>
      <c r="L3" s="110">
        <v>40</v>
      </c>
      <c r="M3" s="111">
        <f t="shared" si="8"/>
        <v>6720</v>
      </c>
      <c r="N3" s="111">
        <f t="shared" si="9"/>
        <v>29120</v>
      </c>
      <c r="O3" s="111">
        <f t="shared" si="10"/>
        <v>349440</v>
      </c>
      <c r="P3" s="112">
        <f t="shared" ref="P3:P12" si="13">+Q3/26.8</f>
        <v>6.2686567164179099</v>
      </c>
      <c r="Q3" s="112">
        <f t="shared" si="11"/>
        <v>168</v>
      </c>
      <c r="R3" s="112">
        <f t="shared" si="12"/>
        <v>728</v>
      </c>
      <c r="S3" s="113">
        <v>8736</v>
      </c>
    </row>
    <row r="4" spans="1:19" ht="24" customHeight="1" x14ac:dyDescent="0.25">
      <c r="A4" s="105" t="s">
        <v>224</v>
      </c>
      <c r="B4" s="106">
        <f t="shared" si="0"/>
        <v>0</v>
      </c>
      <c r="C4" s="107">
        <f t="shared" si="1"/>
        <v>0</v>
      </c>
      <c r="D4" s="106">
        <f t="shared" si="2"/>
        <v>0</v>
      </c>
      <c r="E4" s="108">
        <f t="shared" si="3"/>
        <v>0</v>
      </c>
      <c r="F4" s="106">
        <f t="shared" si="4"/>
        <v>0</v>
      </c>
      <c r="G4" s="108">
        <f t="shared" si="5"/>
        <v>0</v>
      </c>
      <c r="H4" s="106">
        <f t="shared" si="6"/>
        <v>0</v>
      </c>
      <c r="I4" s="108">
        <f t="shared" si="7"/>
        <v>0</v>
      </c>
      <c r="J4" s="103"/>
      <c r="K4" s="109" t="s">
        <v>228</v>
      </c>
      <c r="L4" s="110">
        <v>0</v>
      </c>
      <c r="M4" s="111">
        <f t="shared" si="8"/>
        <v>0</v>
      </c>
      <c r="N4" s="111">
        <f t="shared" si="9"/>
        <v>0</v>
      </c>
      <c r="O4" s="111">
        <f t="shared" si="10"/>
        <v>0</v>
      </c>
      <c r="P4" s="112">
        <f t="shared" si="13"/>
        <v>0</v>
      </c>
      <c r="Q4" s="112">
        <f t="shared" si="11"/>
        <v>0</v>
      </c>
      <c r="R4" s="112">
        <f t="shared" si="12"/>
        <v>0</v>
      </c>
      <c r="S4" s="113">
        <v>0</v>
      </c>
    </row>
    <row r="5" spans="1:19" ht="24" customHeight="1" x14ac:dyDescent="0.25">
      <c r="A5" s="105" t="s">
        <v>224</v>
      </c>
      <c r="B5" s="106">
        <f t="shared" si="0"/>
        <v>0</v>
      </c>
      <c r="C5" s="107">
        <f t="shared" si="1"/>
        <v>0</v>
      </c>
      <c r="D5" s="106">
        <f t="shared" si="2"/>
        <v>0</v>
      </c>
      <c r="E5" s="108">
        <f t="shared" si="3"/>
        <v>0</v>
      </c>
      <c r="F5" s="106">
        <f t="shared" si="4"/>
        <v>0</v>
      </c>
      <c r="G5" s="108">
        <f t="shared" si="5"/>
        <v>0</v>
      </c>
      <c r="H5" s="106">
        <f t="shared" si="6"/>
        <v>0</v>
      </c>
      <c r="I5" s="108">
        <f t="shared" si="7"/>
        <v>0</v>
      </c>
      <c r="J5" s="103"/>
      <c r="K5" s="109" t="s">
        <v>229</v>
      </c>
      <c r="L5" s="110">
        <v>0</v>
      </c>
      <c r="M5" s="111">
        <f t="shared" si="8"/>
        <v>0</v>
      </c>
      <c r="N5" s="111">
        <f t="shared" si="9"/>
        <v>0</v>
      </c>
      <c r="O5" s="111">
        <f t="shared" si="10"/>
        <v>0</v>
      </c>
      <c r="P5" s="112">
        <f t="shared" si="13"/>
        <v>0</v>
      </c>
      <c r="Q5" s="112">
        <f t="shared" si="11"/>
        <v>0</v>
      </c>
      <c r="R5" s="112">
        <f t="shared" si="12"/>
        <v>0</v>
      </c>
      <c r="S5" s="113">
        <v>0</v>
      </c>
    </row>
    <row r="6" spans="1:19" ht="24" customHeight="1" x14ac:dyDescent="0.25">
      <c r="A6" s="105" t="s">
        <v>230</v>
      </c>
      <c r="B6" s="106">
        <f t="shared" si="0"/>
        <v>0</v>
      </c>
      <c r="C6" s="107">
        <f t="shared" si="1"/>
        <v>0</v>
      </c>
      <c r="D6" s="106">
        <f t="shared" si="2"/>
        <v>0</v>
      </c>
      <c r="E6" s="108">
        <f t="shared" si="3"/>
        <v>0</v>
      </c>
      <c r="F6" s="106">
        <f t="shared" si="4"/>
        <v>0</v>
      </c>
      <c r="G6" s="108">
        <f t="shared" si="5"/>
        <v>0</v>
      </c>
      <c r="H6" s="106">
        <f t="shared" si="6"/>
        <v>0</v>
      </c>
      <c r="I6" s="108">
        <f t="shared" si="7"/>
        <v>0</v>
      </c>
      <c r="J6" s="103"/>
      <c r="K6" s="109" t="s">
        <v>231</v>
      </c>
      <c r="L6" s="110">
        <v>0</v>
      </c>
      <c r="M6" s="111">
        <f t="shared" si="8"/>
        <v>0</v>
      </c>
      <c r="N6" s="111">
        <f t="shared" si="9"/>
        <v>0</v>
      </c>
      <c r="O6" s="111">
        <f t="shared" si="10"/>
        <v>0</v>
      </c>
      <c r="P6" s="112">
        <f t="shared" si="13"/>
        <v>0</v>
      </c>
      <c r="Q6" s="112">
        <f t="shared" si="11"/>
        <v>0</v>
      </c>
      <c r="R6" s="112">
        <f t="shared" si="12"/>
        <v>0</v>
      </c>
      <c r="S6" s="113">
        <v>0</v>
      </c>
    </row>
    <row r="7" spans="1:19" ht="24" customHeight="1" x14ac:dyDescent="0.25">
      <c r="A7" s="105" t="s">
        <v>224</v>
      </c>
      <c r="B7" s="106">
        <f t="shared" si="0"/>
        <v>0</v>
      </c>
      <c r="C7" s="107">
        <f t="shared" si="1"/>
        <v>0</v>
      </c>
      <c r="D7" s="106">
        <f t="shared" si="2"/>
        <v>0</v>
      </c>
      <c r="E7" s="108">
        <f t="shared" si="3"/>
        <v>0</v>
      </c>
      <c r="F7" s="106">
        <f t="shared" si="4"/>
        <v>0</v>
      </c>
      <c r="G7" s="108">
        <f t="shared" si="5"/>
        <v>0</v>
      </c>
      <c r="H7" s="106">
        <f t="shared" si="6"/>
        <v>0</v>
      </c>
      <c r="I7" s="108">
        <f t="shared" si="7"/>
        <v>0</v>
      </c>
      <c r="J7" s="103"/>
      <c r="K7" s="109" t="s">
        <v>232</v>
      </c>
      <c r="L7" s="110">
        <v>0</v>
      </c>
      <c r="M7" s="111">
        <f t="shared" si="8"/>
        <v>0</v>
      </c>
      <c r="N7" s="111">
        <f t="shared" si="9"/>
        <v>0</v>
      </c>
      <c r="O7" s="111">
        <f t="shared" si="10"/>
        <v>0</v>
      </c>
      <c r="P7" s="112">
        <f t="shared" si="13"/>
        <v>0</v>
      </c>
      <c r="Q7" s="112">
        <f t="shared" si="11"/>
        <v>0</v>
      </c>
      <c r="R7" s="112">
        <f t="shared" si="12"/>
        <v>0</v>
      </c>
      <c r="S7" s="113">
        <v>0</v>
      </c>
    </row>
    <row r="8" spans="1:19" ht="24" customHeight="1" x14ac:dyDescent="0.25">
      <c r="A8" s="105" t="s">
        <v>224</v>
      </c>
      <c r="B8" s="106">
        <f t="shared" si="0"/>
        <v>0</v>
      </c>
      <c r="C8" s="107">
        <f t="shared" si="1"/>
        <v>0</v>
      </c>
      <c r="D8" s="106">
        <f t="shared" si="2"/>
        <v>0</v>
      </c>
      <c r="E8" s="108">
        <f t="shared" si="3"/>
        <v>0</v>
      </c>
      <c r="F8" s="106">
        <f t="shared" si="4"/>
        <v>0</v>
      </c>
      <c r="G8" s="108">
        <f t="shared" si="5"/>
        <v>0</v>
      </c>
      <c r="H8" s="106">
        <f t="shared" si="6"/>
        <v>0</v>
      </c>
      <c r="I8" s="108">
        <f t="shared" si="7"/>
        <v>0</v>
      </c>
      <c r="J8" s="103"/>
      <c r="K8" s="109" t="s">
        <v>233</v>
      </c>
      <c r="L8" s="110">
        <v>0</v>
      </c>
      <c r="M8" s="111">
        <f t="shared" si="8"/>
        <v>0</v>
      </c>
      <c r="N8" s="111">
        <f t="shared" si="9"/>
        <v>0</v>
      </c>
      <c r="O8" s="111">
        <f t="shared" si="10"/>
        <v>0</v>
      </c>
      <c r="P8" s="112">
        <f t="shared" si="13"/>
        <v>0</v>
      </c>
      <c r="Q8" s="112">
        <f t="shared" si="11"/>
        <v>0</v>
      </c>
      <c r="R8" s="112">
        <f t="shared" si="12"/>
        <v>0</v>
      </c>
      <c r="S8" s="113">
        <v>0</v>
      </c>
    </row>
    <row r="9" spans="1:19" ht="24" customHeight="1" x14ac:dyDescent="0.25">
      <c r="A9" s="105" t="s">
        <v>224</v>
      </c>
      <c r="B9" s="106">
        <f t="shared" si="0"/>
        <v>0</v>
      </c>
      <c r="C9" s="107">
        <f t="shared" si="1"/>
        <v>0</v>
      </c>
      <c r="D9" s="106">
        <f t="shared" si="2"/>
        <v>0</v>
      </c>
      <c r="E9" s="108">
        <f t="shared" si="3"/>
        <v>0</v>
      </c>
      <c r="F9" s="106">
        <f t="shared" si="4"/>
        <v>0</v>
      </c>
      <c r="G9" s="108">
        <f t="shared" si="5"/>
        <v>0</v>
      </c>
      <c r="H9" s="106">
        <f t="shared" si="6"/>
        <v>0</v>
      </c>
      <c r="I9" s="108">
        <f t="shared" si="7"/>
        <v>0</v>
      </c>
      <c r="J9" s="103"/>
      <c r="K9" s="109" t="s">
        <v>234</v>
      </c>
      <c r="L9" s="110">
        <v>0</v>
      </c>
      <c r="M9" s="111">
        <f t="shared" si="8"/>
        <v>0</v>
      </c>
      <c r="N9" s="111">
        <f t="shared" si="9"/>
        <v>0</v>
      </c>
      <c r="O9" s="111">
        <f t="shared" si="10"/>
        <v>0</v>
      </c>
      <c r="P9" s="112">
        <f t="shared" si="13"/>
        <v>0</v>
      </c>
      <c r="Q9" s="112">
        <f t="shared" si="11"/>
        <v>0</v>
      </c>
      <c r="R9" s="112">
        <f t="shared" si="12"/>
        <v>0</v>
      </c>
      <c r="S9" s="113">
        <v>0</v>
      </c>
    </row>
    <row r="10" spans="1:19" ht="24" customHeight="1" x14ac:dyDescent="0.25">
      <c r="A10" s="105" t="s">
        <v>224</v>
      </c>
      <c r="B10" s="106">
        <f t="shared" si="0"/>
        <v>0</v>
      </c>
      <c r="C10" s="107">
        <f t="shared" si="1"/>
        <v>0</v>
      </c>
      <c r="D10" s="106">
        <f t="shared" si="2"/>
        <v>0</v>
      </c>
      <c r="E10" s="108">
        <f t="shared" si="3"/>
        <v>0</v>
      </c>
      <c r="F10" s="106">
        <f t="shared" si="4"/>
        <v>0</v>
      </c>
      <c r="G10" s="108">
        <f t="shared" si="5"/>
        <v>0</v>
      </c>
      <c r="H10" s="106">
        <f t="shared" si="6"/>
        <v>0</v>
      </c>
      <c r="I10" s="108">
        <f t="shared" si="7"/>
        <v>0</v>
      </c>
      <c r="J10" s="103"/>
      <c r="K10" s="109" t="s">
        <v>235</v>
      </c>
      <c r="L10" s="110">
        <v>0</v>
      </c>
      <c r="M10" s="111">
        <f t="shared" si="8"/>
        <v>0</v>
      </c>
      <c r="N10" s="111">
        <f t="shared" si="9"/>
        <v>0</v>
      </c>
      <c r="O10" s="111">
        <f t="shared" si="10"/>
        <v>0</v>
      </c>
      <c r="P10" s="112">
        <f t="shared" si="13"/>
        <v>0</v>
      </c>
      <c r="Q10" s="112">
        <f t="shared" si="11"/>
        <v>0</v>
      </c>
      <c r="R10" s="112">
        <f t="shared" si="12"/>
        <v>0</v>
      </c>
      <c r="S10" s="113">
        <v>0</v>
      </c>
    </row>
    <row r="11" spans="1:19" ht="24" customHeight="1" x14ac:dyDescent="0.25">
      <c r="A11" s="105" t="s">
        <v>224</v>
      </c>
      <c r="B11" s="106">
        <f t="shared" si="0"/>
        <v>0</v>
      </c>
      <c r="C11" s="107">
        <f t="shared" si="1"/>
        <v>0</v>
      </c>
      <c r="D11" s="106">
        <f t="shared" si="2"/>
        <v>0</v>
      </c>
      <c r="E11" s="108">
        <f t="shared" si="3"/>
        <v>0</v>
      </c>
      <c r="F11" s="106">
        <f t="shared" si="4"/>
        <v>0</v>
      </c>
      <c r="G11" s="108">
        <f t="shared" si="5"/>
        <v>0</v>
      </c>
      <c r="H11" s="106">
        <f t="shared" si="6"/>
        <v>0</v>
      </c>
      <c r="I11" s="108">
        <f t="shared" si="7"/>
        <v>0</v>
      </c>
      <c r="J11" s="103"/>
      <c r="K11" s="114"/>
      <c r="L11" s="110">
        <v>0</v>
      </c>
      <c r="M11" s="111">
        <f t="shared" si="8"/>
        <v>0</v>
      </c>
      <c r="N11" s="111">
        <f t="shared" si="9"/>
        <v>0</v>
      </c>
      <c r="O11" s="111">
        <f t="shared" si="10"/>
        <v>0</v>
      </c>
      <c r="P11" s="112">
        <f t="shared" si="13"/>
        <v>0</v>
      </c>
      <c r="Q11" s="112">
        <f t="shared" si="11"/>
        <v>0</v>
      </c>
      <c r="R11" s="112">
        <f t="shared" si="12"/>
        <v>0</v>
      </c>
      <c r="S11" s="113">
        <v>0</v>
      </c>
    </row>
    <row r="12" spans="1:19" ht="25.5" customHeight="1" x14ac:dyDescent="0.25">
      <c r="A12" s="115" t="s">
        <v>236</v>
      </c>
      <c r="B12" s="116">
        <f>SUM(B2:B11)</f>
        <v>12.26865671641791</v>
      </c>
      <c r="C12" s="117">
        <f>AVERAGEIF(C2:C11,"&gt;0")</f>
        <v>33.74</v>
      </c>
      <c r="D12" s="116">
        <f t="shared" ref="D12:I12" si="14">SUM(D2:D11)</f>
        <v>336</v>
      </c>
      <c r="E12" s="118">
        <f t="shared" si="14"/>
        <v>11336.64</v>
      </c>
      <c r="F12" s="116">
        <f t="shared" si="14"/>
        <v>1456</v>
      </c>
      <c r="G12" s="118">
        <f t="shared" si="14"/>
        <v>49125.440000000002</v>
      </c>
      <c r="H12" s="116">
        <f t="shared" si="14"/>
        <v>17472</v>
      </c>
      <c r="I12" s="118">
        <f t="shared" si="14"/>
        <v>589505.28000000003</v>
      </c>
      <c r="J12" s="103"/>
      <c r="K12" s="119" t="s">
        <v>237</v>
      </c>
      <c r="L12" s="120"/>
      <c r="M12" s="121">
        <f>SUM(M2:M11)</f>
        <v>11336.64</v>
      </c>
      <c r="N12" s="121">
        <f>SUM(N2:N11)</f>
        <v>49125.440000000002</v>
      </c>
      <c r="O12" s="121">
        <f>SUM(O2:O11)</f>
        <v>589505.28000000003</v>
      </c>
      <c r="P12" s="122">
        <f t="shared" si="13"/>
        <v>12.53731343283582</v>
      </c>
      <c r="Q12" s="122">
        <f t="shared" si="11"/>
        <v>336</v>
      </c>
      <c r="R12" s="122">
        <f>SUM(R2:R11)</f>
        <v>1456</v>
      </c>
      <c r="S12" s="122">
        <f>SUM(S2:S11)</f>
        <v>17472</v>
      </c>
    </row>
  </sheetData>
  <dataValidations count="1">
    <dataValidation type="list" operator="equal" allowBlank="1" errorTitle="Invalid Entry" error="Select a category from the list or clear the cell." promptTitle="Post Type" prompt="Choose a labor category" sqref="A2:A11" xr:uid="{00000000-0002-0000-0400-000000000000}">
      <formula1>"Option Yr 1,Option Yr 2,Option Yr 3,Ootion Yr 4,Option Yr 5,Facility 1,Facility 2,Facility 3,Facility 4,Guard I,Guard II,Contract Manager,Armed S/O,Supervisor,Unarmed S/O,Rovering Patrol Officer,Mobile Patrol Officer,Site Lead,Dispatcher,Gate Officer"</formula1>
      <formula2>0</formula2>
    </dataValidation>
  </dataValidations>
  <pageMargins left="0.7" right="0.7" top="0.75" bottom="0.75" header="0.511811023622047" footer="0.511811023622047"/>
  <pageSetup paperSize="9"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J47"/>
  <sheetViews>
    <sheetView topLeftCell="A16" zoomScaleNormal="100" workbookViewId="0">
      <selection activeCell="H29" sqref="H29"/>
    </sheetView>
  </sheetViews>
  <sheetFormatPr defaultColWidth="8.6640625" defaultRowHeight="14.25" customHeight="1" x14ac:dyDescent="0.3"/>
  <cols>
    <col min="1" max="1" width="38.5546875" style="57" customWidth="1"/>
    <col min="2" max="2" width="18" style="57" customWidth="1"/>
    <col min="3" max="3" width="14" style="57" customWidth="1"/>
    <col min="4" max="4" width="16" style="57" customWidth="1"/>
    <col min="5" max="5" width="22.77734375" style="57" hidden="1" customWidth="1"/>
    <col min="6" max="6" width="14" style="57" customWidth="1"/>
    <col min="7" max="9" width="18" style="57" customWidth="1"/>
    <col min="10" max="10" width="13" style="57" customWidth="1"/>
  </cols>
  <sheetData>
    <row r="1" spans="1:5" customFormat="1" ht="8.25" customHeight="1" x14ac:dyDescent="0.25">
      <c r="A1" s="360" t="s">
        <v>238</v>
      </c>
      <c r="B1" s="360"/>
      <c r="C1" s="360"/>
      <c r="D1" s="360"/>
      <c r="E1" s="360"/>
    </row>
    <row r="2" spans="1:5" customFormat="1" ht="6.75" customHeight="1" x14ac:dyDescent="0.25">
      <c r="A2" s="361" t="s">
        <v>132</v>
      </c>
      <c r="B2" s="361"/>
      <c r="C2" s="361"/>
      <c r="D2" s="361"/>
      <c r="E2" s="361"/>
    </row>
    <row r="3" spans="1:5" customFormat="1" ht="15.75" customHeight="1" x14ac:dyDescent="0.25">
      <c r="A3" s="58" t="s">
        <v>239</v>
      </c>
      <c r="B3" s="59"/>
      <c r="C3" s="59"/>
      <c r="D3" s="59"/>
      <c r="E3" s="59"/>
    </row>
    <row r="4" spans="1:5" customFormat="1" ht="10.5" customHeight="1" x14ac:dyDescent="0.25">
      <c r="A4" s="123" t="s">
        <v>240</v>
      </c>
      <c r="B4" s="124" t="s">
        <v>241</v>
      </c>
      <c r="C4" s="124" t="s">
        <v>242</v>
      </c>
      <c r="D4" s="124" t="s">
        <v>243</v>
      </c>
      <c r="E4" s="125" t="s">
        <v>63</v>
      </c>
    </row>
    <row r="5" spans="1:5" customFormat="1" ht="14.25" customHeight="1" x14ac:dyDescent="0.25">
      <c r="A5" s="63" t="s">
        <v>56</v>
      </c>
      <c r="B5" s="126">
        <f>ROUNDUP(_Calc_Backend!$X$38,0)</f>
        <v>12</v>
      </c>
      <c r="C5" s="127" t="s">
        <v>244</v>
      </c>
      <c r="D5" s="128"/>
      <c r="E5" s="129" t="s">
        <v>245</v>
      </c>
    </row>
    <row r="6" spans="1:5" customFormat="1" ht="14.25" customHeight="1" x14ac:dyDescent="0.25">
      <c r="A6" s="63" t="s">
        <v>246</v>
      </c>
      <c r="B6" s="126">
        <f>_Calc_Backend!$X$37</f>
        <v>17472</v>
      </c>
      <c r="C6" s="127" t="s">
        <v>247</v>
      </c>
      <c r="D6" s="128"/>
      <c r="E6" s="129" t="s">
        <v>245</v>
      </c>
    </row>
    <row r="7" spans="1:5" customFormat="1" ht="14.25" customHeight="1" x14ac:dyDescent="0.25">
      <c r="A7" s="63" t="s">
        <v>248</v>
      </c>
      <c r="B7" s="130">
        <v>3</v>
      </c>
      <c r="C7" s="127" t="s">
        <v>249</v>
      </c>
      <c r="D7" s="128"/>
      <c r="E7" s="129" t="s">
        <v>250</v>
      </c>
    </row>
    <row r="8" spans="1:5" customFormat="1" ht="14.25" customHeight="1" x14ac:dyDescent="0.25">
      <c r="A8" s="63" t="s">
        <v>251</v>
      </c>
      <c r="B8" s="61">
        <v>333</v>
      </c>
      <c r="C8" s="127" t="s">
        <v>252</v>
      </c>
      <c r="D8" s="128"/>
      <c r="E8" s="129" t="s">
        <v>250</v>
      </c>
    </row>
    <row r="9" spans="1:5" customFormat="1" ht="14.25" customHeight="1" x14ac:dyDescent="0.25">
      <c r="A9" s="63" t="s">
        <v>253</v>
      </c>
      <c r="B9" s="64">
        <v>12</v>
      </c>
      <c r="C9" s="127" t="s">
        <v>254</v>
      </c>
      <c r="D9" s="128"/>
      <c r="E9" s="129" t="s">
        <v>255</v>
      </c>
    </row>
    <row r="10" spans="1:5" customFormat="1" ht="14.25" customHeight="1" x14ac:dyDescent="0.25">
      <c r="A10" s="63" t="s">
        <v>256</v>
      </c>
      <c r="B10" s="61">
        <v>350</v>
      </c>
      <c r="C10" s="127" t="s">
        <v>257</v>
      </c>
      <c r="D10" s="128"/>
      <c r="E10" s="129" t="s">
        <v>258</v>
      </c>
    </row>
    <row r="11" spans="1:5" customFormat="1" ht="14.25" customHeight="1" x14ac:dyDescent="0.25">
      <c r="A11" s="63" t="s">
        <v>259</v>
      </c>
      <c r="B11" s="64">
        <v>24</v>
      </c>
      <c r="C11" s="127" t="s">
        <v>254</v>
      </c>
      <c r="D11" s="128"/>
      <c r="E11" s="129" t="s">
        <v>260</v>
      </c>
    </row>
    <row r="12" spans="1:5" customFormat="1" ht="14.25" customHeight="1" x14ac:dyDescent="0.25">
      <c r="A12" s="63" t="s">
        <v>261</v>
      </c>
      <c r="B12" s="61">
        <v>275</v>
      </c>
      <c r="C12" s="127" t="s">
        <v>257</v>
      </c>
      <c r="D12" s="128"/>
      <c r="E12" s="129" t="s">
        <v>262</v>
      </c>
    </row>
    <row r="13" spans="1:5" customFormat="1" ht="14.25" customHeight="1" x14ac:dyDescent="0.25">
      <c r="A13" s="63" t="s">
        <v>263</v>
      </c>
      <c r="B13" s="64">
        <v>36</v>
      </c>
      <c r="C13" s="127" t="s">
        <v>254</v>
      </c>
      <c r="D13" s="128"/>
      <c r="E13" s="129" t="s">
        <v>260</v>
      </c>
    </row>
    <row r="14" spans="1:5" customFormat="1" ht="14.25" customHeight="1" x14ac:dyDescent="0.25">
      <c r="A14" s="63" t="s">
        <v>264</v>
      </c>
      <c r="B14" s="131">
        <v>45</v>
      </c>
      <c r="C14" s="127" t="s">
        <v>257</v>
      </c>
      <c r="D14" s="128"/>
      <c r="E14" s="129" t="s">
        <v>265</v>
      </c>
    </row>
    <row r="15" spans="1:5" customFormat="1" ht="14.25" customHeight="1" x14ac:dyDescent="0.25">
      <c r="A15" s="63" t="s">
        <v>266</v>
      </c>
      <c r="B15" s="132">
        <v>12</v>
      </c>
      <c r="C15" s="127" t="s">
        <v>254</v>
      </c>
      <c r="D15" s="128"/>
      <c r="E15" s="129" t="s">
        <v>260</v>
      </c>
    </row>
    <row r="16" spans="1:5" customFormat="1" ht="26.25" customHeight="1" x14ac:dyDescent="0.25">
      <c r="A16" s="63" t="s">
        <v>267</v>
      </c>
      <c r="B16" s="61">
        <v>85</v>
      </c>
      <c r="C16" s="127" t="s">
        <v>268</v>
      </c>
      <c r="D16" s="128"/>
      <c r="E16" s="129" t="s">
        <v>269</v>
      </c>
    </row>
    <row r="17" spans="1:5" customFormat="1" ht="14.25" customHeight="1" x14ac:dyDescent="0.25">
      <c r="A17" s="63" t="s">
        <v>270</v>
      </c>
      <c r="B17" s="66">
        <v>0.1</v>
      </c>
      <c r="C17" s="127" t="s">
        <v>271</v>
      </c>
      <c r="D17" s="128"/>
      <c r="E17" s="129" t="s">
        <v>272</v>
      </c>
    </row>
    <row r="18" spans="1:5" customFormat="1" ht="26.25" customHeight="1" x14ac:dyDescent="0.3">
      <c r="A18" s="133" t="s">
        <v>273</v>
      </c>
      <c r="B18" s="66">
        <v>0.05</v>
      </c>
      <c r="C18" s="127" t="s">
        <v>271</v>
      </c>
      <c r="D18" s="72"/>
      <c r="E18" s="129" t="s">
        <v>274</v>
      </c>
    </row>
    <row r="19" spans="1:5" customFormat="1" ht="10.5" customHeight="1" x14ac:dyDescent="0.25">
      <c r="A19" s="134"/>
      <c r="B19" s="134"/>
      <c r="C19" s="134"/>
      <c r="D19" s="134"/>
    </row>
    <row r="20" spans="1:5" customFormat="1" ht="13.5" customHeight="1" x14ac:dyDescent="0.25">
      <c r="A20" s="135"/>
      <c r="B20" s="136"/>
      <c r="C20" s="136"/>
      <c r="D20" s="137"/>
    </row>
    <row r="21" spans="1:5" customFormat="1" ht="15.75" customHeight="1" x14ac:dyDescent="0.25">
      <c r="A21" s="58" t="s">
        <v>275</v>
      </c>
      <c r="B21" s="138"/>
      <c r="C21" s="138"/>
      <c r="D21" s="59"/>
      <c r="E21" s="59"/>
    </row>
    <row r="22" spans="1:5" customFormat="1" ht="10.5" customHeight="1" x14ac:dyDescent="0.25">
      <c r="A22" s="123" t="s">
        <v>75</v>
      </c>
      <c r="B22" s="139" t="s">
        <v>276</v>
      </c>
      <c r="C22" s="139" t="s">
        <v>277</v>
      </c>
      <c r="D22" s="124" t="s">
        <v>242</v>
      </c>
      <c r="E22" s="125" t="s">
        <v>278</v>
      </c>
    </row>
    <row r="23" spans="1:5" customFormat="1" ht="10.5" customHeight="1" x14ac:dyDescent="0.25">
      <c r="A23" s="63" t="s">
        <v>279</v>
      </c>
      <c r="B23" s="89">
        <f>B5*B7*B8</f>
        <v>11988</v>
      </c>
      <c r="C23" s="89">
        <f t="shared" ref="C23:C36" si="0">B23</f>
        <v>11988</v>
      </c>
      <c r="D23" s="127" t="s">
        <v>280</v>
      </c>
      <c r="E23" s="129" t="s">
        <v>281</v>
      </c>
    </row>
    <row r="24" spans="1:5" customFormat="1" ht="10.5" customHeight="1" x14ac:dyDescent="0.25">
      <c r="A24" s="63" t="s">
        <v>282</v>
      </c>
      <c r="B24" s="89">
        <f>IFERROR(C23*(12/B9),0)</f>
        <v>11988</v>
      </c>
      <c r="C24" s="89">
        <f t="shared" si="0"/>
        <v>11988</v>
      </c>
      <c r="D24" s="127" t="s">
        <v>283</v>
      </c>
      <c r="E24" s="129" t="s">
        <v>284</v>
      </c>
    </row>
    <row r="25" spans="1:5" customFormat="1" ht="10.5" customHeight="1" x14ac:dyDescent="0.25">
      <c r="A25" s="63" t="s">
        <v>285</v>
      </c>
      <c r="B25" s="89">
        <f>B5*B10</f>
        <v>4200</v>
      </c>
      <c r="C25" s="89">
        <f t="shared" si="0"/>
        <v>4200</v>
      </c>
      <c r="D25" s="127" t="s">
        <v>280</v>
      </c>
      <c r="E25" s="129" t="s">
        <v>286</v>
      </c>
    </row>
    <row r="26" spans="1:5" customFormat="1" ht="10.5" customHeight="1" x14ac:dyDescent="0.25">
      <c r="A26" s="63" t="s">
        <v>287</v>
      </c>
      <c r="B26" s="89">
        <f>IFERROR(C25*(12/B11),0)</f>
        <v>2100</v>
      </c>
      <c r="C26" s="89">
        <f t="shared" si="0"/>
        <v>2100</v>
      </c>
      <c r="D26" s="127" t="s">
        <v>283</v>
      </c>
      <c r="E26" s="129" t="s">
        <v>284</v>
      </c>
    </row>
    <row r="27" spans="1:5" customFormat="1" ht="10.5" customHeight="1" x14ac:dyDescent="0.25">
      <c r="A27" s="63" t="s">
        <v>288</v>
      </c>
      <c r="B27" s="89">
        <f>B5*B12</f>
        <v>3300</v>
      </c>
      <c r="C27" s="89">
        <f t="shared" si="0"/>
        <v>3300</v>
      </c>
      <c r="D27" s="127" t="s">
        <v>280</v>
      </c>
      <c r="E27" s="129" t="s">
        <v>289</v>
      </c>
    </row>
    <row r="28" spans="1:5" customFormat="1" ht="10.5" customHeight="1" x14ac:dyDescent="0.25">
      <c r="A28" s="63" t="s">
        <v>290</v>
      </c>
      <c r="B28" s="89">
        <f>IFERROR(C27*(12/B13),0)</f>
        <v>1100</v>
      </c>
      <c r="C28" s="89">
        <f t="shared" si="0"/>
        <v>1100</v>
      </c>
      <c r="D28" s="127" t="s">
        <v>283</v>
      </c>
      <c r="E28" s="129" t="s">
        <v>284</v>
      </c>
    </row>
    <row r="29" spans="1:5" customFormat="1" ht="10.5" customHeight="1" x14ac:dyDescent="0.25">
      <c r="A29" s="63" t="s">
        <v>291</v>
      </c>
      <c r="B29" s="89">
        <f>B5*B14</f>
        <v>540</v>
      </c>
      <c r="C29" s="89">
        <f t="shared" si="0"/>
        <v>540</v>
      </c>
      <c r="D29" s="127" t="s">
        <v>280</v>
      </c>
      <c r="E29" s="129" t="s">
        <v>292</v>
      </c>
    </row>
    <row r="30" spans="1:5" customFormat="1" ht="10.5" customHeight="1" x14ac:dyDescent="0.25">
      <c r="A30" s="63" t="s">
        <v>293</v>
      </c>
      <c r="B30" s="89">
        <f>IFERROR(C29*(12/B15),0)</f>
        <v>540</v>
      </c>
      <c r="C30" s="89">
        <f t="shared" si="0"/>
        <v>540</v>
      </c>
      <c r="D30" s="127" t="s">
        <v>283</v>
      </c>
      <c r="E30" s="129" t="s">
        <v>284</v>
      </c>
    </row>
    <row r="31" spans="1:5" customFormat="1" ht="10.5" customHeight="1" x14ac:dyDescent="0.25">
      <c r="A31" s="63" t="s">
        <v>294</v>
      </c>
      <c r="B31" s="89">
        <f>B5*B16</f>
        <v>1020</v>
      </c>
      <c r="C31" s="89">
        <f t="shared" si="0"/>
        <v>1020</v>
      </c>
      <c r="D31" s="127" t="s">
        <v>283</v>
      </c>
      <c r="E31" s="129" t="s">
        <v>295</v>
      </c>
    </row>
    <row r="32" spans="1:5" customFormat="1" ht="21.75" customHeight="1" x14ac:dyDescent="0.25">
      <c r="A32" s="140" t="s">
        <v>296</v>
      </c>
      <c r="B32" s="141">
        <f>SUM(C24,C26,C28,C30,C31)</f>
        <v>16748</v>
      </c>
      <c r="C32" s="141">
        <f t="shared" si="0"/>
        <v>16748</v>
      </c>
      <c r="D32" s="142" t="s">
        <v>283</v>
      </c>
      <c r="E32" s="143" t="s">
        <v>297</v>
      </c>
    </row>
    <row r="33" spans="1:5" customFormat="1" ht="10.5" customHeight="1" x14ac:dyDescent="0.25">
      <c r="A33" s="63" t="s">
        <v>298</v>
      </c>
      <c r="B33" s="89">
        <f>C32*B17</f>
        <v>1674.8000000000002</v>
      </c>
      <c r="C33" s="89">
        <f t="shared" si="0"/>
        <v>1674.8000000000002</v>
      </c>
      <c r="D33" s="127" t="s">
        <v>283</v>
      </c>
      <c r="E33" s="129" t="s">
        <v>299</v>
      </c>
    </row>
    <row r="34" spans="1:5" customFormat="1" ht="10.5" customHeight="1" x14ac:dyDescent="0.25">
      <c r="A34" s="63" t="s">
        <v>300</v>
      </c>
      <c r="B34" s="89">
        <f>SUM(C32:C33)*B18</f>
        <v>921.14</v>
      </c>
      <c r="C34" s="89">
        <f t="shared" si="0"/>
        <v>921.14</v>
      </c>
      <c r="D34" s="127" t="s">
        <v>283</v>
      </c>
      <c r="E34" s="129" t="s">
        <v>301</v>
      </c>
    </row>
    <row r="35" spans="1:5" customFormat="1" ht="10.5" customHeight="1" x14ac:dyDescent="0.25">
      <c r="A35" s="140" t="s">
        <v>302</v>
      </c>
      <c r="B35" s="141">
        <f>SUM(C32:C34)</f>
        <v>19343.939999999999</v>
      </c>
      <c r="C35" s="141">
        <f t="shared" si="0"/>
        <v>19343.939999999999</v>
      </c>
      <c r="D35" s="142" t="s">
        <v>283</v>
      </c>
      <c r="E35" s="143" t="s">
        <v>303</v>
      </c>
    </row>
    <row r="36" spans="1:5" customFormat="1" ht="10.5" customHeight="1" x14ac:dyDescent="0.25">
      <c r="A36" s="63" t="s">
        <v>304</v>
      </c>
      <c r="B36" s="89">
        <f>IFERROR(C35/B6,0)</f>
        <v>1.1071394230769229</v>
      </c>
      <c r="C36" s="89">
        <f t="shared" si="0"/>
        <v>1.1071394230769229</v>
      </c>
      <c r="D36" s="127" t="s">
        <v>305</v>
      </c>
      <c r="E36" s="129" t="s">
        <v>306</v>
      </c>
    </row>
    <row r="37" spans="1:5" customFormat="1" ht="13.5" customHeight="1" x14ac:dyDescent="0.25"/>
    <row r="38" spans="1:5" customFormat="1" ht="13.5" customHeight="1" x14ac:dyDescent="0.25"/>
    <row r="39" spans="1:5" customFormat="1" ht="6" hidden="1" customHeight="1" x14ac:dyDescent="0.25">
      <c r="A39" s="58" t="s">
        <v>307</v>
      </c>
      <c r="B39" s="59"/>
      <c r="C39" s="59"/>
      <c r="D39" s="59"/>
      <c r="E39" s="59"/>
    </row>
    <row r="40" spans="1:5" customFormat="1" ht="6" hidden="1" customHeight="1" x14ac:dyDescent="0.25">
      <c r="A40" s="144" t="s">
        <v>308</v>
      </c>
      <c r="B40" s="145" t="s">
        <v>276</v>
      </c>
      <c r="C40" s="145" t="s">
        <v>277</v>
      </c>
      <c r="D40" s="145" t="s">
        <v>309</v>
      </c>
      <c r="E40" s="146"/>
    </row>
    <row r="41" spans="1:5" customFormat="1" ht="4.5" hidden="1" customHeight="1" x14ac:dyDescent="0.25">
      <c r="A41" s="85" t="s">
        <v>310</v>
      </c>
      <c r="B41" s="147" t="str">
        <f>IF(B5&gt;0,"OK","CHECK")</f>
        <v>OK</v>
      </c>
      <c r="C41" s="148" t="str">
        <f>B41</f>
        <v>OK</v>
      </c>
      <c r="D41" s="149" t="s">
        <v>311</v>
      </c>
    </row>
    <row r="42" spans="1:5" customFormat="1" ht="4.5" hidden="1" customHeight="1" x14ac:dyDescent="0.25">
      <c r="A42" s="85" t="s">
        <v>312</v>
      </c>
      <c r="B42" s="147" t="str">
        <f>IF(B6&gt;0,"OK","CHECK")</f>
        <v>OK</v>
      </c>
      <c r="C42" s="148" t="str">
        <f>B42</f>
        <v>OK</v>
      </c>
      <c r="D42" s="149" t="s">
        <v>311</v>
      </c>
    </row>
    <row r="43" spans="1:5" customFormat="1" ht="4.5" hidden="1" customHeight="1" x14ac:dyDescent="0.25">
      <c r="A43" s="85" t="s">
        <v>313</v>
      </c>
      <c r="B43" s="150" t="str">
        <f>IF(C36&gt;=0,"OK","CHECK")</f>
        <v>OK</v>
      </c>
      <c r="C43" s="151" t="str">
        <f>B43</f>
        <v>OK</v>
      </c>
      <c r="D43" s="149" t="s">
        <v>314</v>
      </c>
    </row>
    <row r="44" spans="1:5" customFormat="1" ht="13.5" customHeight="1" x14ac:dyDescent="0.25"/>
    <row r="45" spans="1:5" customFormat="1" ht="13.5" customHeight="1" x14ac:dyDescent="0.25"/>
    <row r="46" spans="1:5" customFormat="1" ht="13.5" customHeight="1" x14ac:dyDescent="0.25">
      <c r="A46" s="362" t="s">
        <v>315</v>
      </c>
      <c r="B46" s="362"/>
      <c r="C46" s="362"/>
      <c r="D46" s="362"/>
      <c r="E46" s="362"/>
    </row>
    <row r="47" spans="1:5" customFormat="1" ht="13.5" customHeight="1" x14ac:dyDescent="0.25">
      <c r="A47" s="362"/>
      <c r="B47" s="362"/>
      <c r="C47" s="362"/>
      <c r="D47" s="362"/>
      <c r="E47" s="362"/>
    </row>
  </sheetData>
  <mergeCells count="3">
    <mergeCell ref="A1:E1"/>
    <mergeCell ref="A2:E2"/>
    <mergeCell ref="A46:E47"/>
  </mergeCells>
  <dataValidations count="2">
    <dataValidation type="decimal" operator="greaterThanOrEqual" allowBlank="1" errorTitle="Invalid input" error="Use a non-negative number." promptTitle="Input guidance" prompt="Enter a non-negative assumption." sqref="B7:B16" xr:uid="{00000000-0002-0000-0500-000000000000}">
      <formula1>0</formula1>
      <formula2>0</formula2>
    </dataValidation>
    <dataValidation type="decimal" allowBlank="1" errorTitle="Invalid input" error="Use a value from 0 to 1." promptTitle="Input guidance" prompt="Enter a factor as a decimal between 0 and 1." sqref="B17:B18" xr:uid="{00000000-0002-0000-0500-000001000000}">
      <formula1>0</formula1>
      <formula2>1</formula2>
    </dataValidation>
  </dataValidations>
  <pageMargins left="0.7" right="0.7" top="0.75" bottom="0.75" header="0.511811023622047" footer="0.511811023622047"/>
  <pageSetup paperSize="9" orientation="portrait" horizontalDpi="300" verticalDpi="300"/>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J38"/>
  <sheetViews>
    <sheetView zoomScaleNormal="100" workbookViewId="0">
      <selection activeCell="F29" sqref="F29"/>
    </sheetView>
  </sheetViews>
  <sheetFormatPr defaultColWidth="8.6640625" defaultRowHeight="14.25" customHeight="1" x14ac:dyDescent="0.3"/>
  <cols>
    <col min="1" max="1" width="36.44140625" style="57" customWidth="1"/>
    <col min="2" max="2" width="18" style="57" customWidth="1"/>
    <col min="3" max="3" width="14" style="57" customWidth="1"/>
    <col min="4" max="5" width="16" style="57" customWidth="1"/>
    <col min="6" max="6" width="14" style="57" customWidth="1"/>
    <col min="7" max="9" width="18" style="57" customWidth="1"/>
    <col min="10" max="10" width="13" style="57" customWidth="1"/>
  </cols>
  <sheetData>
    <row r="1" spans="1:4" customFormat="1" ht="18" customHeight="1" x14ac:dyDescent="0.25">
      <c r="A1" s="360" t="s">
        <v>316</v>
      </c>
      <c r="B1" s="360"/>
      <c r="C1" s="360"/>
      <c r="D1" s="360"/>
    </row>
    <row r="2" spans="1:4" customFormat="1" ht="14.25" customHeight="1" x14ac:dyDescent="0.25">
      <c r="A2" s="361" t="s">
        <v>132</v>
      </c>
      <c r="B2" s="361"/>
      <c r="C2" s="361"/>
      <c r="D2" s="361"/>
    </row>
    <row r="3" spans="1:4" customFormat="1" ht="14.25" customHeight="1" x14ac:dyDescent="0.25">
      <c r="A3" s="362" t="s">
        <v>317</v>
      </c>
      <c r="B3" s="362"/>
      <c r="C3" s="362"/>
      <c r="D3" s="362"/>
    </row>
    <row r="4" spans="1:4" customFormat="1" ht="14.25" customHeight="1" x14ac:dyDescent="0.25">
      <c r="A4" s="123" t="s">
        <v>318</v>
      </c>
      <c r="B4" s="124" t="s">
        <v>319</v>
      </c>
      <c r="C4" s="124" t="s">
        <v>242</v>
      </c>
      <c r="D4" s="124" t="s">
        <v>63</v>
      </c>
    </row>
    <row r="5" spans="1:4" customFormat="1" ht="14.25" customHeight="1" x14ac:dyDescent="0.25">
      <c r="A5" s="63" t="s">
        <v>179</v>
      </c>
      <c r="B5" s="64">
        <v>1</v>
      </c>
      <c r="C5" s="127" t="s">
        <v>320</v>
      </c>
      <c r="D5" s="127" t="s">
        <v>321</v>
      </c>
    </row>
    <row r="6" spans="1:4" customFormat="1" ht="14.25" customHeight="1" x14ac:dyDescent="0.25">
      <c r="A6" s="63" t="s">
        <v>322</v>
      </c>
      <c r="B6" s="64">
        <v>365</v>
      </c>
      <c r="C6" s="127" t="s">
        <v>323</v>
      </c>
      <c r="D6" s="127" t="s">
        <v>321</v>
      </c>
    </row>
    <row r="7" spans="1:4" customFormat="1" ht="14.25" customHeight="1" x14ac:dyDescent="0.25">
      <c r="A7" s="63" t="s">
        <v>324</v>
      </c>
      <c r="B7" s="64">
        <v>7</v>
      </c>
      <c r="C7" s="127" t="s">
        <v>325</v>
      </c>
      <c r="D7" s="127" t="s">
        <v>321</v>
      </c>
    </row>
    <row r="8" spans="1:4" customFormat="1" ht="14.25" customHeight="1" x14ac:dyDescent="0.25">
      <c r="A8" s="63" t="s">
        <v>326</v>
      </c>
      <c r="B8" s="64">
        <v>52</v>
      </c>
      <c r="C8" s="127" t="s">
        <v>327</v>
      </c>
      <c r="D8" s="127" t="s">
        <v>321</v>
      </c>
    </row>
    <row r="9" spans="1:4" customFormat="1" ht="14.25" customHeight="1" x14ac:dyDescent="0.25">
      <c r="A9" s="63" t="s">
        <v>328</v>
      </c>
      <c r="B9" s="64">
        <v>22</v>
      </c>
      <c r="C9" s="127" t="s">
        <v>329</v>
      </c>
      <c r="D9" s="127" t="s">
        <v>321</v>
      </c>
    </row>
    <row r="10" spans="1:4" customFormat="1" ht="14.25" customHeight="1" x14ac:dyDescent="0.25">
      <c r="A10" s="63" t="s">
        <v>181</v>
      </c>
      <c r="B10" s="61">
        <v>4</v>
      </c>
      <c r="C10" s="127" t="s">
        <v>330</v>
      </c>
      <c r="D10" s="127" t="s">
        <v>321</v>
      </c>
    </row>
    <row r="11" spans="1:4" customFormat="1" ht="14.25" customHeight="1" x14ac:dyDescent="0.25">
      <c r="A11" s="63" t="s">
        <v>331</v>
      </c>
      <c r="B11" s="61">
        <v>0.18</v>
      </c>
      <c r="C11" s="127" t="s">
        <v>332</v>
      </c>
      <c r="D11" s="127" t="s">
        <v>321</v>
      </c>
    </row>
    <row r="12" spans="1:4" customFormat="1" ht="14.25" customHeight="1" x14ac:dyDescent="0.25">
      <c r="A12" s="63" t="s">
        <v>333</v>
      </c>
      <c r="B12" s="61">
        <v>850</v>
      </c>
      <c r="C12" s="127" t="s">
        <v>334</v>
      </c>
      <c r="D12" s="127" t="s">
        <v>321</v>
      </c>
    </row>
    <row r="13" spans="1:4" customFormat="1" ht="14.25" customHeight="1" x14ac:dyDescent="0.25">
      <c r="A13" s="63" t="s">
        <v>335</v>
      </c>
      <c r="B13" s="61">
        <v>225</v>
      </c>
      <c r="C13" s="127" t="s">
        <v>334</v>
      </c>
      <c r="D13" s="127" t="s">
        <v>321</v>
      </c>
    </row>
    <row r="14" spans="1:4" customFormat="1" ht="14.25" customHeight="1" x14ac:dyDescent="0.25">
      <c r="A14" s="63" t="s">
        <v>336</v>
      </c>
      <c r="B14" s="61">
        <v>1</v>
      </c>
      <c r="C14" s="127" t="s">
        <v>334</v>
      </c>
      <c r="D14" s="127" t="s">
        <v>321</v>
      </c>
    </row>
    <row r="15" spans="1:4" customFormat="1" ht="14.25" customHeight="1" x14ac:dyDescent="0.25">
      <c r="A15" s="63" t="s">
        <v>337</v>
      </c>
      <c r="B15" s="61">
        <v>250</v>
      </c>
      <c r="C15" s="127" t="s">
        <v>338</v>
      </c>
      <c r="D15" s="127" t="s">
        <v>321</v>
      </c>
    </row>
    <row r="16" spans="1:4" customFormat="1" ht="14.25" customHeight="1" x14ac:dyDescent="0.25">
      <c r="A16" s="137"/>
      <c r="B16" s="137"/>
      <c r="C16" s="137"/>
      <c r="D16" s="137"/>
    </row>
    <row r="17" spans="1:4" customFormat="1" ht="14.25" customHeight="1" x14ac:dyDescent="0.25">
      <c r="A17" s="137"/>
      <c r="B17" s="137"/>
      <c r="C17" s="137"/>
      <c r="D17" s="137"/>
    </row>
    <row r="18" spans="1:4" customFormat="1" ht="14.25" customHeight="1" x14ac:dyDescent="0.25">
      <c r="A18" s="362" t="s">
        <v>339</v>
      </c>
      <c r="B18" s="362"/>
      <c r="C18" s="362"/>
      <c r="D18" s="362"/>
    </row>
    <row r="19" spans="1:4" customFormat="1" ht="14.25" customHeight="1" x14ac:dyDescent="0.25">
      <c r="A19" s="123" t="s">
        <v>75</v>
      </c>
      <c r="B19" s="124" t="s">
        <v>276</v>
      </c>
      <c r="C19" s="124" t="s">
        <v>277</v>
      </c>
      <c r="D19" s="124" t="s">
        <v>242</v>
      </c>
    </row>
    <row r="20" spans="1:4" customFormat="1" ht="14.25" customHeight="1" x14ac:dyDescent="0.25">
      <c r="A20" s="63" t="s">
        <v>340</v>
      </c>
      <c r="B20" s="88">
        <f>B5*B6</f>
        <v>365</v>
      </c>
      <c r="C20" s="126">
        <f t="shared" ref="C20:C31" si="0">B20</f>
        <v>365</v>
      </c>
      <c r="D20" s="127" t="s">
        <v>323</v>
      </c>
    </row>
    <row r="21" spans="1:4" customFormat="1" ht="14.25" customHeight="1" x14ac:dyDescent="0.25">
      <c r="A21" s="63" t="s">
        <v>341</v>
      </c>
      <c r="B21" s="88">
        <f>C20*B7*B8</f>
        <v>132860</v>
      </c>
      <c r="C21" s="126">
        <f t="shared" si="0"/>
        <v>132860</v>
      </c>
      <c r="D21" s="127" t="s">
        <v>342</v>
      </c>
    </row>
    <row r="22" spans="1:4" customFormat="1" ht="14.25" customHeight="1" x14ac:dyDescent="0.25">
      <c r="A22" s="63" t="s">
        <v>343</v>
      </c>
      <c r="B22" s="88">
        <f>IFERROR(C21/B9,0)</f>
        <v>6039.090909090909</v>
      </c>
      <c r="C22" s="126">
        <f t="shared" si="0"/>
        <v>6039.090909090909</v>
      </c>
      <c r="D22" s="127" t="s">
        <v>344</v>
      </c>
    </row>
    <row r="23" spans="1:4" customFormat="1" ht="14.25" customHeight="1" x14ac:dyDescent="0.25">
      <c r="A23" s="63" t="s">
        <v>345</v>
      </c>
      <c r="B23" s="89">
        <f>C22*B10</f>
        <v>24156.363636363636</v>
      </c>
      <c r="C23" s="152">
        <f t="shared" si="0"/>
        <v>24156.363636363636</v>
      </c>
      <c r="D23" s="127" t="s">
        <v>338</v>
      </c>
    </row>
    <row r="24" spans="1:4" customFormat="1" ht="14.25" customHeight="1" x14ac:dyDescent="0.25">
      <c r="A24" s="63" t="s">
        <v>346</v>
      </c>
      <c r="B24" s="89">
        <f>C21*B11</f>
        <v>23914.799999999999</v>
      </c>
      <c r="C24" s="152">
        <f t="shared" si="0"/>
        <v>23914.799999999999</v>
      </c>
      <c r="D24" s="127" t="s">
        <v>338</v>
      </c>
    </row>
    <row r="25" spans="1:4" customFormat="1" ht="14.25" customHeight="1" x14ac:dyDescent="0.25">
      <c r="A25" s="63" t="s">
        <v>347</v>
      </c>
      <c r="B25" s="89">
        <f>B5*B12*12</f>
        <v>10200</v>
      </c>
      <c r="C25" s="152">
        <f t="shared" si="0"/>
        <v>10200</v>
      </c>
      <c r="D25" s="127" t="s">
        <v>338</v>
      </c>
    </row>
    <row r="26" spans="1:4" customFormat="1" ht="14.25" customHeight="1" x14ac:dyDescent="0.25">
      <c r="A26" s="63" t="s">
        <v>348</v>
      </c>
      <c r="B26" s="89">
        <f>B5*B13*12</f>
        <v>2700</v>
      </c>
      <c r="C26" s="152">
        <f t="shared" si="0"/>
        <v>2700</v>
      </c>
      <c r="D26" s="127" t="s">
        <v>338</v>
      </c>
    </row>
    <row r="27" spans="1:4" customFormat="1" ht="14.25" customHeight="1" x14ac:dyDescent="0.25">
      <c r="A27" s="63" t="s">
        <v>349</v>
      </c>
      <c r="B27" s="89">
        <f>B5*B14*12</f>
        <v>12</v>
      </c>
      <c r="C27" s="152">
        <f t="shared" si="0"/>
        <v>12</v>
      </c>
      <c r="D27" s="127" t="s">
        <v>338</v>
      </c>
    </row>
    <row r="28" spans="1:4" customFormat="1" ht="14.25" customHeight="1" x14ac:dyDescent="0.25">
      <c r="A28" s="63" t="s">
        <v>350</v>
      </c>
      <c r="B28" s="153">
        <f>B5*B15</f>
        <v>250</v>
      </c>
      <c r="C28" s="152">
        <f t="shared" si="0"/>
        <v>250</v>
      </c>
      <c r="D28" s="127" t="s">
        <v>338</v>
      </c>
    </row>
    <row r="29" spans="1:4" customFormat="1" ht="14.25" customHeight="1" x14ac:dyDescent="0.25">
      <c r="A29" s="140" t="s">
        <v>182</v>
      </c>
      <c r="B29" s="141">
        <f>SUM(C23:C28)</f>
        <v>61233.163636363635</v>
      </c>
      <c r="C29" s="154">
        <f t="shared" si="0"/>
        <v>61233.163636363635</v>
      </c>
      <c r="D29" s="142" t="s">
        <v>338</v>
      </c>
    </row>
    <row r="30" spans="1:4" customFormat="1" ht="14.25" customHeight="1" x14ac:dyDescent="0.25">
      <c r="A30" s="63" t="s">
        <v>351</v>
      </c>
      <c r="B30" s="89">
        <f>IFERROR(C29/_Calc_Backend!$X$37,0)</f>
        <v>3.5046453546453544</v>
      </c>
      <c r="C30" s="155">
        <f t="shared" si="0"/>
        <v>3.5046453546453544</v>
      </c>
      <c r="D30" s="127" t="s">
        <v>352</v>
      </c>
    </row>
    <row r="31" spans="1:4" customFormat="1" ht="14.25" customHeight="1" x14ac:dyDescent="0.25">
      <c r="A31" s="63" t="s">
        <v>353</v>
      </c>
      <c r="B31" s="89">
        <f>IFERROR(C29/_Calc_Backend!$X$33,0)</f>
        <v>15.842500009408152</v>
      </c>
      <c r="C31" s="155">
        <f t="shared" si="0"/>
        <v>15.842500009408152</v>
      </c>
      <c r="D31" s="127" t="s">
        <v>354</v>
      </c>
    </row>
    <row r="32" spans="1:4" customFormat="1" ht="9" customHeight="1" x14ac:dyDescent="0.25">
      <c r="A32" s="137"/>
      <c r="B32" s="137"/>
      <c r="C32" s="137"/>
      <c r="D32" s="137"/>
    </row>
    <row r="33" spans="1:4" customFormat="1" ht="9" customHeight="1" x14ac:dyDescent="0.25">
      <c r="A33" s="137"/>
      <c r="B33" s="137"/>
      <c r="C33" s="137"/>
      <c r="D33" s="137"/>
    </row>
    <row r="34" spans="1:4" customFormat="1" ht="9" customHeight="1" x14ac:dyDescent="0.25">
      <c r="A34" s="362" t="s">
        <v>355</v>
      </c>
      <c r="B34" s="362"/>
      <c r="C34" s="362"/>
      <c r="D34" s="362"/>
    </row>
    <row r="35" spans="1:4" customFormat="1" ht="13.5" customHeight="1" x14ac:dyDescent="0.25"/>
    <row r="36" spans="1:4" customFormat="1" ht="13.5" customHeight="1" x14ac:dyDescent="0.25"/>
    <row r="37" spans="1:4" customFormat="1" ht="13.5" customHeight="1" x14ac:dyDescent="0.25"/>
    <row r="38" spans="1:4" customFormat="1" ht="16.5" customHeight="1" x14ac:dyDescent="0.25"/>
  </sheetData>
  <mergeCells count="5">
    <mergeCell ref="A1:D1"/>
    <mergeCell ref="A2:D2"/>
    <mergeCell ref="A3:D3"/>
    <mergeCell ref="A18:D18"/>
    <mergeCell ref="A34:D34"/>
  </mergeCells>
  <dataValidations count="4">
    <dataValidation type="decimal" operator="greaterThanOrEqual" allowBlank="1" errorTitle="Invalid input" error="Use a non-negative number." promptTitle="Input guidance" prompt="Enter a non-negative value." sqref="B9:B15" xr:uid="{00000000-0002-0000-0600-000000000000}">
      <formula1>0</formula1>
      <formula2>0</formula2>
    </dataValidation>
    <dataValidation type="whole" allowBlank="1" errorTitle="Invalid input" error="Whole number required." promptTitle="Input guidance" prompt="Enter a non-negative whole number." sqref="B5:B6" xr:uid="{00000000-0002-0000-0600-000001000000}">
      <formula1>0</formula1>
      <formula2>10000</formula2>
    </dataValidation>
    <dataValidation type="whole" allowBlank="1" showInputMessage="1" showErrorMessage="1" errorTitle="Invalid Entry" error="Please enter a whole number between 1 and 7." promptTitle="Operating Days per Week" prompt="Enter a whole number from 1 to 7." sqref="B7" xr:uid="{00000000-0002-0000-0600-000002000000}">
      <formula1>1</formula1>
      <formula2>7</formula2>
    </dataValidation>
    <dataValidation type="whole" allowBlank="1" showInputMessage="1" showErrorMessage="1" errorTitle="Invalid Entry" error="Please enter a whole number between 1 and 52." promptTitle="Weeks of Coverage" prompt="Enter a whole number from 1 to 52." sqref="B8" xr:uid="{00000000-0002-0000-0600-000003000000}">
      <formula1>1</formula1>
      <formula2>52</formula2>
    </dataValidation>
  </dataValidations>
  <pageMargins left="0.7" right="0.7" top="0.75" bottom="0.75" header="0.511811023622047" footer="0.511811023622047"/>
  <pageSetup paperSize="9" orientation="portrait" horizontalDpi="300" verticalDpi="300"/>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J9"/>
  <sheetViews>
    <sheetView zoomScaleNormal="100" workbookViewId="0">
      <selection activeCell="A9" sqref="A9"/>
    </sheetView>
  </sheetViews>
  <sheetFormatPr defaultColWidth="8.6640625" defaultRowHeight="12.75" customHeight="1" x14ac:dyDescent="0.25"/>
  <cols>
    <col min="1" max="1" width="20.6640625" customWidth="1"/>
    <col min="2" max="2" width="8.109375" customWidth="1"/>
    <col min="3" max="3" width="15.33203125" customWidth="1"/>
    <col min="4" max="4" width="21.5546875" customWidth="1"/>
    <col min="5" max="5" width="18.6640625" customWidth="1"/>
    <col min="6" max="6" width="15.44140625" customWidth="1"/>
    <col min="7" max="7" width="16.109375" customWidth="1"/>
    <col min="8" max="8" width="16.77734375" customWidth="1"/>
    <col min="9" max="9" width="16.33203125" customWidth="1"/>
    <col min="10" max="10" width="18.5546875" customWidth="1"/>
  </cols>
  <sheetData>
    <row r="1" spans="1:10" ht="11.25" customHeight="1" x14ac:dyDescent="0.3">
      <c r="A1" s="156" t="s">
        <v>356</v>
      </c>
      <c r="B1" s="156" t="s">
        <v>357</v>
      </c>
      <c r="C1" s="156" t="s">
        <v>358</v>
      </c>
      <c r="D1" s="156" t="s">
        <v>359</v>
      </c>
      <c r="E1" s="156" t="s">
        <v>360</v>
      </c>
      <c r="F1" s="156" t="s">
        <v>361</v>
      </c>
      <c r="G1" s="156" t="s">
        <v>362</v>
      </c>
      <c r="H1" s="156" t="s">
        <v>363</v>
      </c>
      <c r="I1" s="156" t="s">
        <v>364</v>
      </c>
      <c r="J1" s="13" t="s">
        <v>135</v>
      </c>
    </row>
    <row r="2" spans="1:10" ht="11.25" customHeight="1" x14ac:dyDescent="0.3">
      <c r="A2" s="157" t="s">
        <v>365</v>
      </c>
      <c r="B2" s="158">
        <v>8</v>
      </c>
      <c r="C2" s="159">
        <v>21</v>
      </c>
      <c r="D2" s="160">
        <f t="shared" ref="D2:D8" si="0">C2/0.7</f>
        <v>30.000000000000004</v>
      </c>
      <c r="E2" s="157">
        <f>IFERROR(ROUNDUP(_Calc_Backend!$E$22/28,0),"")</f>
        <v>12</v>
      </c>
      <c r="F2" s="159">
        <v>200</v>
      </c>
      <c r="G2" s="159">
        <v>600</v>
      </c>
      <c r="H2" s="159">
        <v>0</v>
      </c>
      <c r="I2" s="159">
        <v>0</v>
      </c>
      <c r="J2" s="160">
        <f t="shared" ref="J2:J8" si="1">B2*D2*E2+F2+G2+H2+I2</f>
        <v>3680.0000000000005</v>
      </c>
    </row>
    <row r="3" spans="1:10" ht="11.25" customHeight="1" x14ac:dyDescent="0.3">
      <c r="A3" s="157" t="s">
        <v>366</v>
      </c>
      <c r="B3" s="158">
        <v>16</v>
      </c>
      <c r="C3" s="159">
        <v>25</v>
      </c>
      <c r="D3" s="160">
        <f t="shared" si="0"/>
        <v>35.714285714285715</v>
      </c>
      <c r="E3" s="157">
        <f>IFERROR(ROUNDUP(_Calc_Backend!$E$22/28,0),"")</f>
        <v>12</v>
      </c>
      <c r="F3" s="159">
        <v>0</v>
      </c>
      <c r="G3" s="159">
        <v>0</v>
      </c>
      <c r="H3" s="159">
        <v>0</v>
      </c>
      <c r="I3" s="159">
        <v>0</v>
      </c>
      <c r="J3" s="160">
        <f t="shared" si="1"/>
        <v>6857.1428571428569</v>
      </c>
    </row>
    <row r="4" spans="1:10" ht="11.25" customHeight="1" x14ac:dyDescent="0.3">
      <c r="A4" s="157" t="s">
        <v>367</v>
      </c>
      <c r="B4" s="158">
        <v>40</v>
      </c>
      <c r="C4" s="159">
        <v>21</v>
      </c>
      <c r="D4" s="160">
        <f t="shared" si="0"/>
        <v>30.000000000000004</v>
      </c>
      <c r="E4" s="157">
        <f>IFERROR(ROUNDUP(_Calc_Backend!$E$22/28,0),"")</f>
        <v>12</v>
      </c>
      <c r="F4" s="159">
        <v>0</v>
      </c>
      <c r="G4" s="159">
        <v>0</v>
      </c>
      <c r="H4" s="159">
        <v>0</v>
      </c>
      <c r="I4" s="159">
        <v>0</v>
      </c>
      <c r="J4" s="160">
        <f t="shared" si="1"/>
        <v>14400.000000000004</v>
      </c>
    </row>
    <row r="5" spans="1:10" ht="11.25" customHeight="1" x14ac:dyDescent="0.3">
      <c r="A5" s="157" t="s">
        <v>368</v>
      </c>
      <c r="B5" s="158">
        <v>8</v>
      </c>
      <c r="C5" s="159">
        <v>21</v>
      </c>
      <c r="D5" s="160">
        <f t="shared" si="0"/>
        <v>30.000000000000004</v>
      </c>
      <c r="E5" s="157">
        <f>IFERROR(ROUNDUP(_Calc_Backend!$E$22/28,0),"")</f>
        <v>12</v>
      </c>
      <c r="F5" s="159">
        <v>0</v>
      </c>
      <c r="G5" s="159">
        <v>0</v>
      </c>
      <c r="H5" s="159">
        <v>0</v>
      </c>
      <c r="I5" s="159">
        <v>0</v>
      </c>
      <c r="J5" s="160">
        <f t="shared" si="1"/>
        <v>2880.0000000000005</v>
      </c>
    </row>
    <row r="6" spans="1:10" ht="11.25" customHeight="1" x14ac:dyDescent="0.3">
      <c r="A6" s="157" t="s">
        <v>369</v>
      </c>
      <c r="B6" s="158">
        <v>8</v>
      </c>
      <c r="C6" s="159">
        <v>21</v>
      </c>
      <c r="D6" s="160">
        <f t="shared" si="0"/>
        <v>30.000000000000004</v>
      </c>
      <c r="E6" s="157">
        <f>IFERROR(ROUNDUP(_Calc_Backend!$E$22/28,0),"")</f>
        <v>12</v>
      </c>
      <c r="F6" s="159">
        <v>0</v>
      </c>
      <c r="G6" s="159">
        <v>0</v>
      </c>
      <c r="H6" s="159">
        <v>0</v>
      </c>
      <c r="I6" s="159">
        <v>0</v>
      </c>
      <c r="J6" s="160">
        <f t="shared" si="1"/>
        <v>2880.0000000000005</v>
      </c>
    </row>
    <row r="7" spans="1:10" ht="11.25" customHeight="1" x14ac:dyDescent="0.3">
      <c r="A7" s="157" t="s">
        <v>370</v>
      </c>
      <c r="B7" s="158">
        <v>12</v>
      </c>
      <c r="C7" s="159">
        <v>25</v>
      </c>
      <c r="D7" s="160">
        <f t="shared" si="0"/>
        <v>35.714285714285715</v>
      </c>
      <c r="E7" s="157">
        <f>IFERROR(ROUNDUP(_Calc_Backend!$E$22/28,0),"")</f>
        <v>12</v>
      </c>
      <c r="F7" s="159">
        <v>0</v>
      </c>
      <c r="G7" s="159">
        <v>0</v>
      </c>
      <c r="H7" s="159">
        <v>0</v>
      </c>
      <c r="I7" s="159">
        <v>0</v>
      </c>
      <c r="J7" s="160">
        <f t="shared" si="1"/>
        <v>5142.8571428571431</v>
      </c>
    </row>
    <row r="8" spans="1:10" ht="11.25" customHeight="1" x14ac:dyDescent="0.3">
      <c r="A8" s="157" t="s">
        <v>371</v>
      </c>
      <c r="B8" s="158">
        <v>8</v>
      </c>
      <c r="C8" s="159">
        <v>21</v>
      </c>
      <c r="D8" s="160">
        <f t="shared" si="0"/>
        <v>30.000000000000004</v>
      </c>
      <c r="E8" s="157">
        <f>IFERROR(ROUNDUP(_Calc_Backend!$E$22/28,0),"")</f>
        <v>12</v>
      </c>
      <c r="F8" s="159">
        <v>0</v>
      </c>
      <c r="G8" s="159">
        <v>0</v>
      </c>
      <c r="H8" s="159">
        <v>0</v>
      </c>
      <c r="I8" s="159">
        <v>0</v>
      </c>
      <c r="J8" s="160">
        <f t="shared" si="1"/>
        <v>2880.0000000000005</v>
      </c>
    </row>
    <row r="9" spans="1:10" ht="11.25" customHeight="1" x14ac:dyDescent="0.3">
      <c r="A9" s="157"/>
      <c r="B9" s="157"/>
      <c r="C9" s="157"/>
      <c r="D9" s="157"/>
      <c r="E9" s="157"/>
      <c r="F9" s="157"/>
      <c r="G9" s="157"/>
      <c r="H9" s="157"/>
      <c r="I9" s="157" t="s">
        <v>372</v>
      </c>
      <c r="J9" s="160">
        <f>SUM(J2:J8)</f>
        <v>38720.000000000007</v>
      </c>
    </row>
  </sheetData>
  <dataValidations count="3">
    <dataValidation type="whole" allowBlank="1" errorTitle="Invalid input" error="Use a whole number." promptTitle="Input guidance" prompt="Enter training hours." sqref="B2:B8" xr:uid="{00000000-0002-0000-0700-000000000000}">
      <formula1>0</formula1>
      <formula2>1000</formula2>
    </dataValidation>
    <dataValidation type="decimal" operator="greaterThanOrEqual" allowBlank="1" errorTitle="Invalid input" error="Use a non-negative number." promptTitle="Input guidance" prompt="Enter hourly wages." sqref="C2:C8" xr:uid="{00000000-0002-0000-0700-000001000000}">
      <formula1>0</formula1>
      <formula2>0</formula2>
    </dataValidation>
    <dataValidation type="decimal" operator="greaterThanOrEqual" allowBlank="1" errorTitle="Invalid input" error="Use a non-negative number." promptTitle="Input guidance" prompt="Enter incremental training costs." sqref="F2:I8" xr:uid="{00000000-0002-0000-0700-000002000000}">
      <formula1>0</formula1>
      <formula2>0</formula2>
    </dataValidation>
  </dataValidations>
  <pageMargins left="0.7" right="0.7" top="0.75" bottom="0.75" header="0.511811023622047" footer="0.511811023622047"/>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E7"/>
  <sheetViews>
    <sheetView zoomScaleNormal="100" workbookViewId="0">
      <selection activeCell="J36" sqref="J36"/>
    </sheetView>
  </sheetViews>
  <sheetFormatPr defaultColWidth="8.6640625" defaultRowHeight="12.75" customHeight="1" x14ac:dyDescent="0.25"/>
  <cols>
    <col min="1" max="1" width="10.77734375" customWidth="1"/>
    <col min="2" max="2" width="14" customWidth="1"/>
    <col min="3" max="3" width="9.88671875" customWidth="1"/>
    <col min="4" max="4" width="25.88671875" customWidth="1"/>
    <col min="5" max="5" width="16.44140625" customWidth="1"/>
  </cols>
  <sheetData>
    <row r="1" spans="1:5" ht="12.75" customHeight="1" x14ac:dyDescent="0.25">
      <c r="A1" s="161" t="s">
        <v>373</v>
      </c>
      <c r="B1" s="161" t="s">
        <v>374</v>
      </c>
      <c r="C1" s="161" t="s">
        <v>375</v>
      </c>
      <c r="D1" s="161" t="s">
        <v>376</v>
      </c>
      <c r="E1" s="161" t="s">
        <v>377</v>
      </c>
    </row>
    <row r="2" spans="1:5" ht="12.75" customHeight="1" x14ac:dyDescent="0.25">
      <c r="A2" s="162" t="s">
        <v>378</v>
      </c>
      <c r="B2" s="159">
        <v>250</v>
      </c>
      <c r="C2" s="163">
        <v>4</v>
      </c>
      <c r="D2" s="164">
        <v>1</v>
      </c>
      <c r="E2" s="160">
        <f>B2*C2/D2</f>
        <v>1000</v>
      </c>
    </row>
    <row r="3" spans="1:5" ht="12.75" customHeight="1" x14ac:dyDescent="0.25">
      <c r="A3" s="162" t="s">
        <v>379</v>
      </c>
      <c r="B3" s="159">
        <v>600</v>
      </c>
      <c r="C3" s="163">
        <v>1</v>
      </c>
      <c r="D3" s="164">
        <v>3</v>
      </c>
      <c r="E3" s="160">
        <f>B3*C3/D3</f>
        <v>200</v>
      </c>
    </row>
    <row r="4" spans="1:5" ht="12.75" customHeight="1" x14ac:dyDescent="0.25">
      <c r="A4" s="162" t="s">
        <v>380</v>
      </c>
      <c r="B4" s="159">
        <v>800</v>
      </c>
      <c r="C4" s="163">
        <v>1</v>
      </c>
      <c r="D4" s="164">
        <v>5</v>
      </c>
      <c r="E4" s="160">
        <f>B4*C4/D4</f>
        <v>160</v>
      </c>
    </row>
    <row r="5" spans="1:5" ht="12.75" customHeight="1" x14ac:dyDescent="0.25">
      <c r="A5" s="162" t="s">
        <v>381</v>
      </c>
      <c r="B5" s="159">
        <v>75</v>
      </c>
      <c r="C5" s="163">
        <v>1</v>
      </c>
      <c r="D5" s="164">
        <v>2</v>
      </c>
      <c r="E5" s="160">
        <f>B5*C5/D5</f>
        <v>37.5</v>
      </c>
    </row>
    <row r="6" spans="1:5" ht="12.75" customHeight="1" x14ac:dyDescent="0.25">
      <c r="A6" s="162" t="s">
        <v>382</v>
      </c>
      <c r="B6" s="159">
        <v>150</v>
      </c>
      <c r="C6" s="163">
        <v>1</v>
      </c>
      <c r="D6" s="164">
        <v>3</v>
      </c>
      <c r="E6" s="160">
        <f>B6*C6/D6</f>
        <v>50</v>
      </c>
    </row>
    <row r="7" spans="1:5" ht="12.75" customHeight="1" x14ac:dyDescent="0.25">
      <c r="A7" s="162"/>
      <c r="B7" s="162"/>
      <c r="C7" s="162"/>
      <c r="D7" s="162" t="s">
        <v>383</v>
      </c>
      <c r="E7" s="160">
        <f>SUM(E2:E6)</f>
        <v>1447.5</v>
      </c>
    </row>
  </sheetData>
  <dataValidations count="2">
    <dataValidation type="decimal" operator="greaterThanOrEqual" allowBlank="1" errorTitle="Invalid input" error="Use a non-negative number." promptTitle="Input guidance" prompt="Enter a non-negative value." sqref="B2:C6" xr:uid="{00000000-0002-0000-0800-000000000000}">
      <formula1>0</formula1>
      <formula2>0</formula2>
    </dataValidation>
    <dataValidation type="decimal" operator="greaterThanOrEqual" allowBlank="1" errorTitle="Invalid input" error="Enter a value above zero." promptTitle="Input guidance" prompt="Replacement cycle must be greater than zero." sqref="D2:D6" xr:uid="{00000000-0002-0000-0800-000001000000}">
      <formula1>0.01</formula1>
      <formula2>0</formula2>
    </dataValidation>
  </dataValidations>
  <pageMargins left="0.7" right="0.7" top="0.75" bottom="0.75" header="0.511811023622047" footer="0.511811023622047"/>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FF00"/>
  </sheetPr>
  <dimension ref="A1:E7"/>
  <sheetViews>
    <sheetView zoomScaleNormal="100" workbookViewId="0">
      <selection activeCell="H10" sqref="H10"/>
    </sheetView>
  </sheetViews>
  <sheetFormatPr defaultColWidth="8.6640625" defaultRowHeight="12.75" customHeight="1" x14ac:dyDescent="0.25"/>
  <cols>
    <col min="1" max="1" width="19.33203125" customWidth="1"/>
    <col min="2" max="2" width="12.77734375" customWidth="1"/>
    <col min="3" max="3" width="12.109375" customWidth="1"/>
    <col min="4" max="4" width="29.6640625" customWidth="1"/>
    <col min="5" max="5" width="12.44140625" customWidth="1"/>
  </cols>
  <sheetData>
    <row r="1" spans="1:5" ht="12.75" customHeight="1" x14ac:dyDescent="0.25">
      <c r="A1" s="161" t="s">
        <v>703</v>
      </c>
      <c r="B1" s="161" t="s">
        <v>747</v>
      </c>
      <c r="C1" s="161" t="s">
        <v>748</v>
      </c>
      <c r="D1" s="161" t="s">
        <v>749</v>
      </c>
      <c r="E1" s="161" t="s">
        <v>750</v>
      </c>
    </row>
    <row r="2" spans="1:5" ht="12.75" customHeight="1" x14ac:dyDescent="0.25">
      <c r="A2" s="162" t="s">
        <v>751</v>
      </c>
      <c r="B2" s="163">
        <v>80</v>
      </c>
      <c r="C2" s="163">
        <v>1</v>
      </c>
      <c r="D2" s="159">
        <v>28.04</v>
      </c>
      <c r="E2" s="160">
        <f>B2*C2*D2</f>
        <v>2243.1999999999998</v>
      </c>
    </row>
    <row r="3" spans="1:5" ht="12.75" customHeight="1" x14ac:dyDescent="0.25">
      <c r="A3" s="162" t="s">
        <v>752</v>
      </c>
      <c r="B3" s="163">
        <v>56</v>
      </c>
      <c r="C3" s="163">
        <v>2</v>
      </c>
      <c r="D3" s="159">
        <v>28.04</v>
      </c>
      <c r="E3" s="160">
        <f>B3*C3*D3</f>
        <v>3140.48</v>
      </c>
    </row>
    <row r="4" spans="1:5" ht="12.75" customHeight="1" x14ac:dyDescent="0.25">
      <c r="A4" s="162" t="s">
        <v>753</v>
      </c>
      <c r="B4" s="163">
        <v>88</v>
      </c>
      <c r="C4" s="163">
        <v>2</v>
      </c>
      <c r="D4" s="159">
        <v>42.06</v>
      </c>
      <c r="E4" s="160">
        <f>B4*C4*D4</f>
        <v>7402.56</v>
      </c>
    </row>
    <row r="5" spans="1:5" ht="12.75" customHeight="1" x14ac:dyDescent="0.25">
      <c r="A5" s="162" t="s">
        <v>754</v>
      </c>
      <c r="B5" s="163">
        <v>40</v>
      </c>
      <c r="C5" s="163">
        <v>2</v>
      </c>
      <c r="D5" s="159">
        <v>28.04</v>
      </c>
      <c r="E5" s="160">
        <f>B5*C5*D5</f>
        <v>2243.1999999999998</v>
      </c>
    </row>
    <row r="6" spans="1:5" ht="12.75" customHeight="1" x14ac:dyDescent="0.25">
      <c r="A6" s="162" t="s">
        <v>496</v>
      </c>
      <c r="B6" s="163">
        <v>0</v>
      </c>
      <c r="C6" s="163">
        <v>0</v>
      </c>
      <c r="D6" s="159">
        <v>0</v>
      </c>
      <c r="E6" s="160">
        <f>B6*C6*D6</f>
        <v>0</v>
      </c>
    </row>
    <row r="7" spans="1:5" ht="12.75" customHeight="1" x14ac:dyDescent="0.25">
      <c r="A7" s="162"/>
      <c r="B7" s="162"/>
      <c r="C7" s="162"/>
      <c r="D7" s="162" t="s">
        <v>755</v>
      </c>
      <c r="E7" s="160">
        <f>SUM(E2:E6)</f>
        <v>15029.440000000002</v>
      </c>
    </row>
  </sheetData>
  <dataValidations count="1">
    <dataValidation type="decimal" operator="greaterThanOrEqual" allowBlank="1" errorTitle="Invalid input" error="Use a non-negative number." promptTitle="Input guidance" prompt="Enter a non-negative assumption." sqref="B2:D6" xr:uid="{00000000-0002-0000-1300-000000000000}">
      <formula1>0</formula1>
      <formula2>0</formula2>
    </dataValidation>
  </dataValidations>
  <pageMargins left="0.7" right="0.7" top="0.75" bottom="0.75" header="0.511811023622047" footer="0.511811023622047"/>
  <pageSetup paperSize="9" orientation="portrait" horizontalDpi="300" verticalDpi="300"/>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604A7B"/>
  </sheetPr>
  <dimension ref="A1:J53"/>
  <sheetViews>
    <sheetView topLeftCell="A19" zoomScaleNormal="100" workbookViewId="0">
      <selection activeCell="G15" sqref="G15"/>
    </sheetView>
  </sheetViews>
  <sheetFormatPr defaultColWidth="8.6640625" defaultRowHeight="14.25" customHeight="1" x14ac:dyDescent="0.3"/>
  <cols>
    <col min="1" max="1" width="42.5546875" style="57" customWidth="1"/>
    <col min="2" max="2" width="18" style="57" hidden="1" customWidth="1"/>
    <col min="3" max="3" width="14" style="57" customWidth="1"/>
    <col min="4" max="4" width="16" style="57" customWidth="1"/>
    <col min="5" max="5" width="34.88671875" style="57" customWidth="1"/>
    <col min="6" max="6" width="14" style="57" customWidth="1"/>
    <col min="7" max="9" width="18" style="57" customWidth="1"/>
    <col min="10" max="10" width="13" style="57" customWidth="1"/>
  </cols>
  <sheetData>
    <row r="1" spans="1:5" customFormat="1" ht="18" customHeight="1" x14ac:dyDescent="0.25">
      <c r="A1" s="360" t="s">
        <v>474</v>
      </c>
      <c r="B1" s="360"/>
      <c r="C1" s="360"/>
      <c r="D1" s="360"/>
      <c r="E1" s="360"/>
    </row>
    <row r="2" spans="1:5" customFormat="1" ht="14.25" customHeight="1" x14ac:dyDescent="0.25">
      <c r="A2" s="361" t="s">
        <v>132</v>
      </c>
      <c r="B2" s="361"/>
      <c r="C2" s="361"/>
      <c r="D2" s="361"/>
      <c r="E2" s="361"/>
    </row>
    <row r="3" spans="1:5" customFormat="1" ht="14.25" customHeight="1" x14ac:dyDescent="0.25">
      <c r="A3" s="123" t="s">
        <v>318</v>
      </c>
      <c r="B3" s="124" t="s">
        <v>319</v>
      </c>
      <c r="C3" s="124" t="s">
        <v>387</v>
      </c>
      <c r="D3" s="124" t="s">
        <v>388</v>
      </c>
      <c r="E3" s="146"/>
    </row>
    <row r="4" spans="1:5" customFormat="1" ht="14.25" customHeight="1" x14ac:dyDescent="0.25">
      <c r="A4" s="63" t="s">
        <v>475</v>
      </c>
      <c r="B4" s="190">
        <f>IFERROR(IF(Post_Positions!$C$12&gt;0,Post_Positions!$C$12,Inputs!$B$4),Inputs!$B$4)</f>
        <v>33.74</v>
      </c>
      <c r="C4" s="89">
        <f t="shared" ref="C4:C10" si="0">B4</f>
        <v>33.74</v>
      </c>
      <c r="D4" s="89">
        <f>C4*_Calc_Backend!$X$37</f>
        <v>589505.28000000003</v>
      </c>
    </row>
    <row r="5" spans="1:5" customFormat="1" ht="14.25" customHeight="1" x14ac:dyDescent="0.25">
      <c r="A5" s="63" t="s">
        <v>476</v>
      </c>
      <c r="B5" s="153">
        <f>C4*Inputs!$B$7</f>
        <v>0</v>
      </c>
      <c r="C5" s="153">
        <f t="shared" si="0"/>
        <v>0</v>
      </c>
      <c r="D5" s="153">
        <f>C5*_Calc_Backend!$X$37</f>
        <v>0</v>
      </c>
    </row>
    <row r="6" spans="1:5" customFormat="1" ht="14.25" customHeight="1" x14ac:dyDescent="0.25">
      <c r="A6" s="63" t="s">
        <v>477</v>
      </c>
      <c r="B6" s="153">
        <f>C4*Inputs!$B$10</f>
        <v>0</v>
      </c>
      <c r="C6" s="153">
        <f t="shared" si="0"/>
        <v>0</v>
      </c>
      <c r="D6" s="153">
        <f>C6*_Calc_Backend!$X$37</f>
        <v>0</v>
      </c>
    </row>
    <row r="7" spans="1:5" customFormat="1" ht="14.25" customHeight="1" x14ac:dyDescent="0.25">
      <c r="A7" s="63" t="s">
        <v>478</v>
      </c>
      <c r="B7" s="153">
        <f>Inputs!$B$11</f>
        <v>4.22</v>
      </c>
      <c r="C7" s="153">
        <f t="shared" si="0"/>
        <v>4.22</v>
      </c>
      <c r="D7" s="425">
        <f>C7*_Calc_Backend!$X$37</f>
        <v>73731.839999999997</v>
      </c>
    </row>
    <row r="8" spans="1:5" customFormat="1" ht="14.25" customHeight="1" x14ac:dyDescent="0.25">
      <c r="A8" s="63" t="s">
        <v>479</v>
      </c>
      <c r="B8" s="153">
        <f>C4*Inputs!$B$8</f>
        <v>0</v>
      </c>
      <c r="C8" s="191">
        <f t="shared" si="0"/>
        <v>0</v>
      </c>
      <c r="D8" s="153">
        <f>C8*_Calc_Backend!$X$37</f>
        <v>0</v>
      </c>
    </row>
    <row r="9" spans="1:5" customFormat="1" ht="14.25" customHeight="1" x14ac:dyDescent="0.25">
      <c r="A9" s="63" t="s">
        <v>480</v>
      </c>
      <c r="B9" s="190">
        <f>C4*Inputs!$B$9</f>
        <v>2.6992000000000003</v>
      </c>
      <c r="C9" s="89">
        <f t="shared" si="0"/>
        <v>2.6992000000000003</v>
      </c>
      <c r="D9" s="89">
        <f>C9*_Calc_Backend!$X$37</f>
        <v>47160.422400000003</v>
      </c>
    </row>
    <row r="10" spans="1:5" customFormat="1" ht="14.25" customHeight="1" x14ac:dyDescent="0.25">
      <c r="A10" s="63" t="s">
        <v>481</v>
      </c>
      <c r="B10" s="190">
        <f>IFERROR(IF(Inputs!$B$21&gt;0,SUM(C4:C9)*(Inputs!$B$21/480),0),0)</f>
        <v>1.2706</v>
      </c>
      <c r="C10" s="153">
        <f t="shared" si="0"/>
        <v>1.2706</v>
      </c>
      <c r="D10" s="153">
        <f>C10*_Calc_Backend!$X$37</f>
        <v>22199.923199999997</v>
      </c>
    </row>
    <row r="11" spans="1:5" customFormat="1" ht="14.25" customHeight="1" x14ac:dyDescent="0.3">
      <c r="A11" s="140" t="s">
        <v>482</v>
      </c>
      <c r="B11" s="72"/>
      <c r="C11" s="141">
        <f>SUM(C4:C10)</f>
        <v>41.9298</v>
      </c>
      <c r="D11" s="141">
        <f>SUM(D4:D10)</f>
        <v>732597.4656</v>
      </c>
    </row>
    <row r="12" spans="1:5" customFormat="1" ht="54.75" hidden="1" customHeight="1" x14ac:dyDescent="0.3">
      <c r="A12" s="63" t="s">
        <v>483</v>
      </c>
      <c r="B12" s="72"/>
      <c r="C12" s="89">
        <f>C11</f>
        <v>41.9298</v>
      </c>
      <c r="D12" s="89">
        <f>D11</f>
        <v>732597.4656</v>
      </c>
    </row>
    <row r="13" spans="1:5" customFormat="1" ht="14.25" customHeight="1" x14ac:dyDescent="0.25"/>
    <row r="14" spans="1:5" customFormat="1" ht="18" customHeight="1" x14ac:dyDescent="0.25">
      <c r="A14" s="360" t="s">
        <v>484</v>
      </c>
      <c r="B14" s="360"/>
      <c r="C14" s="360"/>
      <c r="D14" s="360"/>
      <c r="E14" s="360"/>
    </row>
    <row r="15" spans="1:5" customFormat="1" ht="14.25" customHeight="1" x14ac:dyDescent="0.25">
      <c r="A15" s="361" t="s">
        <v>132</v>
      </c>
      <c r="B15" s="361"/>
      <c r="C15" s="361"/>
      <c r="D15" s="361"/>
      <c r="E15" s="361"/>
    </row>
    <row r="16" spans="1:5" customFormat="1" ht="14.25" customHeight="1" x14ac:dyDescent="0.25">
      <c r="A16" s="123" t="s">
        <v>318</v>
      </c>
      <c r="B16" s="124" t="s">
        <v>319</v>
      </c>
      <c r="C16" s="124" t="s">
        <v>387</v>
      </c>
      <c r="D16" s="124" t="s">
        <v>388</v>
      </c>
    </row>
    <row r="17" spans="1:5" customFormat="1" ht="14.25" customHeight="1" x14ac:dyDescent="0.25">
      <c r="A17" s="63" t="s">
        <v>485</v>
      </c>
      <c r="B17" s="192">
        <f>Direct_Labor!$C$11*Inputs!$B$13</f>
        <v>3.2076297</v>
      </c>
      <c r="C17" s="89">
        <f t="shared" ref="C17:C24" si="1">B17</f>
        <v>3.2076297</v>
      </c>
      <c r="D17" s="89">
        <f>C17*_Calc_Backend!$X$37</f>
        <v>56043.706118399998</v>
      </c>
    </row>
    <row r="18" spans="1:5" customFormat="1" ht="14.25" customHeight="1" x14ac:dyDescent="0.25">
      <c r="A18" s="63" t="s">
        <v>486</v>
      </c>
      <c r="B18" s="192">
        <f>Direct_Labor!$C$11*Inputs!$B$14</f>
        <v>0.25157879999999999</v>
      </c>
      <c r="C18" s="89">
        <f t="shared" si="1"/>
        <v>0.25157879999999999</v>
      </c>
      <c r="D18" s="89">
        <f>C18*_Calc_Backend!$X$37</f>
        <v>4395.5847936</v>
      </c>
    </row>
    <row r="19" spans="1:5" customFormat="1" ht="14.25" customHeight="1" x14ac:dyDescent="0.25">
      <c r="A19" s="63" t="s">
        <v>487</v>
      </c>
      <c r="B19" s="192">
        <f>Direct_Labor!$C$11*Inputs!$B$15</f>
        <v>0.83859600000000001</v>
      </c>
      <c r="C19" s="89">
        <f t="shared" si="1"/>
        <v>0.83859600000000001</v>
      </c>
      <c r="D19" s="89">
        <f>C19*_Calc_Backend!$X$37</f>
        <v>14651.949312000001</v>
      </c>
    </row>
    <row r="20" spans="1:5" customFormat="1" ht="14.25" customHeight="1" x14ac:dyDescent="0.25">
      <c r="A20" s="63" t="s">
        <v>488</v>
      </c>
      <c r="B20" s="192">
        <f>Direct_Labor!$C$11*Inputs!$B$16</f>
        <v>0.67087680000000005</v>
      </c>
      <c r="C20" s="89">
        <f t="shared" si="1"/>
        <v>0.67087680000000005</v>
      </c>
      <c r="D20" s="89">
        <f>C20*_Calc_Backend!$X$37</f>
        <v>11721.559449600001</v>
      </c>
    </row>
    <row r="21" spans="1:5" customFormat="1" ht="14.25" customHeight="1" x14ac:dyDescent="0.25">
      <c r="A21" s="63" t="s">
        <v>489</v>
      </c>
      <c r="B21" s="89">
        <f>Inputs!$B$17</f>
        <v>0</v>
      </c>
      <c r="C21" s="191">
        <f t="shared" si="1"/>
        <v>0</v>
      </c>
      <c r="D21" s="191">
        <f>C21*_Calc_Backend!$X$37</f>
        <v>0</v>
      </c>
    </row>
    <row r="22" spans="1:5" customFormat="1" ht="14.25" customHeight="1" x14ac:dyDescent="0.25">
      <c r="A22" s="63" t="s">
        <v>490</v>
      </c>
      <c r="B22" s="190">
        <f>Direct_Labor!$C$11*Inputs!$B$18</f>
        <v>0.83859600000000001</v>
      </c>
      <c r="C22" s="153">
        <f t="shared" si="1"/>
        <v>0.83859600000000001</v>
      </c>
      <c r="D22" s="153">
        <f>C22*_Calc_Backend!$X$37</f>
        <v>14651.949312000001</v>
      </c>
    </row>
    <row r="23" spans="1:5" customFormat="1" ht="14.25" customHeight="1" x14ac:dyDescent="0.25">
      <c r="A23" s="63" t="s">
        <v>491</v>
      </c>
      <c r="B23" s="190">
        <f>Direct_Labor!$C$11*Inputs!$B$19</f>
        <v>1.677192</v>
      </c>
      <c r="C23" s="191">
        <f t="shared" si="1"/>
        <v>1.677192</v>
      </c>
      <c r="D23" s="153">
        <f>C23*_Calc_Backend!$X$37</f>
        <v>29303.898624000001</v>
      </c>
    </row>
    <row r="24" spans="1:5" customFormat="1" ht="14.25" customHeight="1" x14ac:dyDescent="0.25">
      <c r="A24" s="63" t="s">
        <v>492</v>
      </c>
      <c r="B24" s="190">
        <f>Direct_Labor!$C$11*Inputs!$B$20</f>
        <v>1.1321045999999999</v>
      </c>
      <c r="C24" s="153">
        <f t="shared" si="1"/>
        <v>1.1321045999999999</v>
      </c>
      <c r="D24" s="153">
        <f>C24*_Calc_Backend!$X$37</f>
        <v>19780.1315712</v>
      </c>
    </row>
    <row r="25" spans="1:5" customFormat="1" ht="14.25" customHeight="1" x14ac:dyDescent="0.3">
      <c r="A25" s="140" t="s">
        <v>493</v>
      </c>
      <c r="B25" s="72"/>
      <c r="C25" s="141">
        <f>SUM(C17:C24)</f>
        <v>8.6165738999999988</v>
      </c>
      <c r="D25" s="141">
        <f>SUM(D17:D24)</f>
        <v>150548.77918079999</v>
      </c>
    </row>
    <row r="26" spans="1:5" customFormat="1" ht="14.25" customHeight="1" x14ac:dyDescent="0.3">
      <c r="A26" s="140" t="s">
        <v>494</v>
      </c>
      <c r="B26" s="72"/>
      <c r="C26" s="141">
        <f>C11+C25</f>
        <v>50.546373899999999</v>
      </c>
      <c r="D26" s="141">
        <f>D11+D25</f>
        <v>883146.24478079996</v>
      </c>
    </row>
    <row r="27" spans="1:5" customFormat="1" ht="18" customHeight="1" x14ac:dyDescent="0.25">
      <c r="A27" s="360" t="s">
        <v>495</v>
      </c>
      <c r="B27" s="360"/>
      <c r="C27" s="360"/>
      <c r="D27" s="360"/>
      <c r="E27" s="360"/>
    </row>
    <row r="28" spans="1:5" customFormat="1" ht="14.25" customHeight="1" x14ac:dyDescent="0.25">
      <c r="A28" s="361" t="s">
        <v>132</v>
      </c>
      <c r="B28" s="361"/>
      <c r="C28" s="361"/>
      <c r="D28" s="361"/>
      <c r="E28" s="361"/>
    </row>
    <row r="29" spans="1:5" customFormat="1" ht="14.25" customHeight="1" x14ac:dyDescent="0.25">
      <c r="A29" s="123" t="s">
        <v>318</v>
      </c>
      <c r="B29" s="123" t="s">
        <v>319</v>
      </c>
      <c r="C29" s="123" t="s">
        <v>387</v>
      </c>
      <c r="D29" s="123" t="s">
        <v>388</v>
      </c>
    </row>
    <row r="30" spans="1:5" customFormat="1" ht="14.25" customHeight="1" x14ac:dyDescent="0.25">
      <c r="A30" s="63" t="s">
        <v>496</v>
      </c>
      <c r="B30" s="192">
        <f>Direct_Labor!$C$11*Inputs!$B$23</f>
        <v>0</v>
      </c>
      <c r="C30" s="153">
        <f t="shared" ref="C30:C39" si="2">B30</f>
        <v>0</v>
      </c>
      <c r="D30" s="153">
        <f>C30*_Calc_Backend!$X$37</f>
        <v>0</v>
      </c>
    </row>
    <row r="31" spans="1:5" customFormat="1" ht="14.25" customHeight="1" x14ac:dyDescent="0.25">
      <c r="A31" s="63" t="s">
        <v>497</v>
      </c>
      <c r="B31" s="192">
        <f>Direct_Labor!$C$11*Inputs!$B$24</f>
        <v>0.62894700000000003</v>
      </c>
      <c r="C31" s="89">
        <f t="shared" si="2"/>
        <v>0.62894700000000003</v>
      </c>
      <c r="D31" s="89">
        <f>C31*_Calc_Backend!$X$37</f>
        <v>10988.961984000001</v>
      </c>
    </row>
    <row r="32" spans="1:5" customFormat="1" ht="14.25" customHeight="1" x14ac:dyDescent="0.25">
      <c r="A32" s="63" t="s">
        <v>498</v>
      </c>
      <c r="B32" s="89">
        <f>Uniform_Equipment!$C$36</f>
        <v>1.1071394230769229</v>
      </c>
      <c r="C32" s="89">
        <f t="shared" si="2"/>
        <v>1.1071394230769229</v>
      </c>
      <c r="D32" s="89">
        <f>Uniform_Equipment!$C$35</f>
        <v>19343.939999999999</v>
      </c>
    </row>
    <row r="33" spans="1:5" customFormat="1" ht="14.25" customHeight="1" x14ac:dyDescent="0.25">
      <c r="A33" s="63" t="s">
        <v>499</v>
      </c>
      <c r="B33" s="192">
        <f>Direct_Labor!$C$11*Inputs!$B$26</f>
        <v>0</v>
      </c>
      <c r="C33" s="153">
        <f t="shared" si="2"/>
        <v>0</v>
      </c>
      <c r="D33" s="153">
        <f>C33*_Calc_Backend!$X$37</f>
        <v>0</v>
      </c>
    </row>
    <row r="34" spans="1:5" customFormat="1" ht="14.25" customHeight="1" x14ac:dyDescent="0.25">
      <c r="A34" s="63" t="s">
        <v>500</v>
      </c>
      <c r="B34" s="192">
        <f>Direct_Labor!$C$11*Inputs!$B$27</f>
        <v>0</v>
      </c>
      <c r="C34" s="153">
        <f t="shared" si="2"/>
        <v>0</v>
      </c>
      <c r="D34" s="153">
        <f>C34*_Calc_Backend!$X$37</f>
        <v>0</v>
      </c>
    </row>
    <row r="35" spans="1:5" customFormat="1" ht="14.25" customHeight="1" x14ac:dyDescent="0.25">
      <c r="A35" s="63" t="s">
        <v>501</v>
      </c>
      <c r="B35" s="192">
        <f>Direct_Labor!$C$11*Inputs!$B$28</f>
        <v>0</v>
      </c>
      <c r="C35" s="153">
        <f t="shared" si="2"/>
        <v>0</v>
      </c>
      <c r="D35" s="153">
        <f>C35*_Calc_Backend!$X$37</f>
        <v>0</v>
      </c>
    </row>
    <row r="36" spans="1:5" customFormat="1" ht="14.25" customHeight="1" x14ac:dyDescent="0.25">
      <c r="A36" s="63" t="s">
        <v>502</v>
      </c>
      <c r="B36" s="89">
        <f>Vehicle!$C$30</f>
        <v>3.5046453546453544</v>
      </c>
      <c r="C36" s="89">
        <f t="shared" si="2"/>
        <v>3.5046453546453544</v>
      </c>
      <c r="D36" s="89">
        <f>Vehicle!$C$29</f>
        <v>61233.163636363635</v>
      </c>
    </row>
    <row r="37" spans="1:5" customFormat="1" ht="14.25" customHeight="1" x14ac:dyDescent="0.25">
      <c r="A37" s="63" t="s">
        <v>503</v>
      </c>
      <c r="B37" s="192">
        <f>Direct_Labor!$C$11*Inputs!$B$30</f>
        <v>0.419298</v>
      </c>
      <c r="C37" s="89">
        <f t="shared" si="2"/>
        <v>0.419298</v>
      </c>
      <c r="D37" s="89">
        <f>C37*_Calc_Backend!$X$37</f>
        <v>7325.9746560000003</v>
      </c>
    </row>
    <row r="38" spans="1:5" customFormat="1" ht="14.25" customHeight="1" x14ac:dyDescent="0.25">
      <c r="A38" s="63" t="s">
        <v>504</v>
      </c>
      <c r="B38" s="192">
        <f>Direct_Labor!$C$11*Inputs!$B$31</f>
        <v>3.7401381599999999</v>
      </c>
      <c r="C38" s="89">
        <f t="shared" si="2"/>
        <v>3.7401381599999999</v>
      </c>
      <c r="D38" s="89">
        <f>C38*_Calc_Backend!$X$37</f>
        <v>65347.69393152</v>
      </c>
    </row>
    <row r="39" spans="1:5" customFormat="1" ht="14.25" customHeight="1" x14ac:dyDescent="0.25">
      <c r="A39" s="63" t="s">
        <v>505</v>
      </c>
      <c r="B39" s="192">
        <f>Direct_Labor!$C$11*Inputs!$B$32</f>
        <v>0.31447350000000002</v>
      </c>
      <c r="C39" s="89">
        <f t="shared" si="2"/>
        <v>0.31447350000000002</v>
      </c>
      <c r="D39" s="89">
        <f>C39*_Calc_Backend!$X$37</f>
        <v>5494.4809920000007</v>
      </c>
    </row>
    <row r="40" spans="1:5" customFormat="1" ht="14.25" customHeight="1" x14ac:dyDescent="0.25">
      <c r="A40" s="140" t="s">
        <v>506</v>
      </c>
      <c r="C40" s="141">
        <f>SUM(C30:C39)</f>
        <v>9.7146414377222783</v>
      </c>
      <c r="D40" s="141">
        <f>SUM(D30:D39)</f>
        <v>169734.21519988365</v>
      </c>
    </row>
    <row r="42" spans="1:5" customFormat="1" ht="18" customHeight="1" x14ac:dyDescent="0.25">
      <c r="A42" s="360" t="s">
        <v>507</v>
      </c>
      <c r="B42" s="360"/>
      <c r="C42" s="360"/>
      <c r="D42" s="360"/>
      <c r="E42" s="360"/>
    </row>
    <row r="43" spans="1:5" customFormat="1" ht="14.25" customHeight="1" x14ac:dyDescent="0.25">
      <c r="A43" s="361" t="s">
        <v>132</v>
      </c>
      <c r="B43" s="361"/>
      <c r="C43" s="361"/>
      <c r="D43" s="361"/>
      <c r="E43" s="361"/>
    </row>
    <row r="44" spans="1:5" customFormat="1" ht="14.25" customHeight="1" x14ac:dyDescent="0.25">
      <c r="A44" s="123" t="s">
        <v>318</v>
      </c>
      <c r="B44" s="123" t="s">
        <v>319</v>
      </c>
      <c r="C44" s="123" t="s">
        <v>387</v>
      </c>
      <c r="D44" s="123" t="s">
        <v>388</v>
      </c>
    </row>
    <row r="45" spans="1:5" customFormat="1" ht="14.25" customHeight="1" x14ac:dyDescent="0.25">
      <c r="A45" s="63" t="s">
        <v>508</v>
      </c>
      <c r="B45" s="192">
        <f>Direct_Labor!$C$11*Inputs!$B$35</f>
        <v>0</v>
      </c>
      <c r="C45" s="153">
        <f>B45</f>
        <v>0</v>
      </c>
      <c r="D45" s="153">
        <f>C45*_Calc_Backend!$X$37</f>
        <v>0</v>
      </c>
    </row>
    <row r="46" spans="1:5" customFormat="1" ht="14.25" customHeight="1" x14ac:dyDescent="0.25">
      <c r="A46" s="63" t="s">
        <v>509</v>
      </c>
      <c r="B46" s="192">
        <f>Direct_Labor!$C$11*Inputs!$B$36</f>
        <v>0</v>
      </c>
      <c r="C46" s="153">
        <f>B46</f>
        <v>0</v>
      </c>
      <c r="D46" s="153">
        <f>C46*_Calc_Backend!$X$37</f>
        <v>0</v>
      </c>
    </row>
    <row r="47" spans="1:5" customFormat="1" ht="14.25" customHeight="1" x14ac:dyDescent="0.25">
      <c r="A47" s="63" t="s">
        <v>510</v>
      </c>
      <c r="B47" s="192">
        <f>Direct_Labor!$C$11*Inputs!$B$37</f>
        <v>4.1929800000000004</v>
      </c>
      <c r="C47" s="89">
        <f>B47</f>
        <v>4.1929800000000004</v>
      </c>
      <c r="D47" s="89">
        <f>C47*_Calc_Backend!$X$37</f>
        <v>73259.74656</v>
      </c>
    </row>
    <row r="48" spans="1:5" customFormat="1" ht="14.25" customHeight="1" x14ac:dyDescent="0.25">
      <c r="A48" s="63" t="s">
        <v>511</v>
      </c>
      <c r="B48" s="192">
        <f>Direct_Labor!$C$11*Inputs!$B$38</f>
        <v>3.354384</v>
      </c>
      <c r="C48" s="89">
        <f>B48</f>
        <v>3.354384</v>
      </c>
      <c r="D48" s="89">
        <f>C48*_Calc_Backend!$X$37</f>
        <v>58607.797248000003</v>
      </c>
    </row>
    <row r="49" spans="1:4" customFormat="1" ht="14.25" customHeight="1" x14ac:dyDescent="0.25">
      <c r="A49" s="63" t="s">
        <v>512</v>
      </c>
      <c r="B49" s="192">
        <f>IFERROR((Appraisal_Full_Scope_Report!$H$19*Inputs!$B$39)/Appraisal_Full_Scope_Report!$F$15,0)</f>
        <v>19.106529334199998</v>
      </c>
      <c r="C49" s="89">
        <f>B49</f>
        <v>19.106529334199998</v>
      </c>
      <c r="D49" s="89">
        <f>C49*_Calc_Backend!$X$37</f>
        <v>333829.28052714234</v>
      </c>
    </row>
    <row r="50" spans="1:4" customFormat="1" ht="14.25" customHeight="1" x14ac:dyDescent="0.25">
      <c r="A50" s="140" t="s">
        <v>513</v>
      </c>
      <c r="C50" s="141">
        <f>SUM(C45:C49)</f>
        <v>26.653893334199999</v>
      </c>
      <c r="D50" s="141">
        <f>SUM(D45:D49)</f>
        <v>465696.82433514233</v>
      </c>
    </row>
    <row r="52" spans="1:4" customFormat="1" ht="14.25" customHeight="1" x14ac:dyDescent="0.25">
      <c r="A52" s="140" t="s">
        <v>514</v>
      </c>
      <c r="C52" s="141">
        <f>C26+C40+C50</f>
        <v>86.914908671922277</v>
      </c>
      <c r="D52" s="141">
        <f>D26+D40+D50</f>
        <v>1518577.2843158259</v>
      </c>
    </row>
    <row r="53" spans="1:4" customFormat="1" ht="14.25" hidden="1" customHeight="1" x14ac:dyDescent="0.25">
      <c r="A53" s="63" t="s">
        <v>515</v>
      </c>
      <c r="C53" s="89">
        <f>C52</f>
        <v>86.914908671922277</v>
      </c>
      <c r="D53" s="89">
        <f>D52</f>
        <v>1518577.2843158259</v>
      </c>
    </row>
  </sheetData>
  <mergeCells count="8">
    <mergeCell ref="A28:E28"/>
    <mergeCell ref="A42:E42"/>
    <mergeCell ref="A43:E43"/>
    <mergeCell ref="A1:E1"/>
    <mergeCell ref="A2:E2"/>
    <mergeCell ref="A14:E14"/>
    <mergeCell ref="A15:E15"/>
    <mergeCell ref="A27:E27"/>
  </mergeCells>
  <pageMargins left="0.7" right="0.7" top="0.75" bottom="0.75" header="0.511811023622047" footer="0.511811023622047"/>
  <pageSetup paperSize="9" orientation="portrait" horizontalDpi="300" verticalDpi="300"/>
  <drawing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558ED5"/>
  </sheetPr>
  <dimension ref="B1:J68"/>
  <sheetViews>
    <sheetView topLeftCell="A6" zoomScaleNormal="100" workbookViewId="0">
      <selection activeCell="M20" sqref="M20"/>
    </sheetView>
  </sheetViews>
  <sheetFormatPr defaultColWidth="8.6640625" defaultRowHeight="12.75" customHeight="1" x14ac:dyDescent="0.25"/>
  <cols>
    <col min="1" max="1" width="4" customWidth="1"/>
    <col min="2" max="2" width="30" customWidth="1"/>
    <col min="3" max="3" width="18" customWidth="1"/>
    <col min="4" max="4" width="4" customWidth="1"/>
    <col min="5" max="5" width="16" customWidth="1"/>
    <col min="10" max="10" width="13" hidden="1" customWidth="1"/>
  </cols>
  <sheetData>
    <row r="1" spans="2:10" ht="51.75" customHeight="1" x14ac:dyDescent="0.25">
      <c r="B1" s="365" t="s">
        <v>411</v>
      </c>
      <c r="C1" s="365"/>
      <c r="D1" s="365"/>
      <c r="E1" s="365"/>
      <c r="F1" s="365"/>
      <c r="G1" s="365"/>
      <c r="H1" s="365"/>
      <c r="I1" s="365"/>
      <c r="J1" s="365"/>
    </row>
    <row r="2" spans="2:10" ht="27.75" customHeight="1" x14ac:dyDescent="0.25">
      <c r="B2" s="366" t="s">
        <v>412</v>
      </c>
      <c r="C2" s="366"/>
      <c r="D2" s="366"/>
      <c r="E2" s="366"/>
      <c r="F2" s="366"/>
      <c r="G2" s="366"/>
      <c r="H2" s="366"/>
      <c r="I2" s="366"/>
      <c r="J2" s="366"/>
    </row>
    <row r="3" spans="2:10" ht="21.75" customHeight="1" x14ac:dyDescent="0.25">
      <c r="B3" s="367" t="s">
        <v>413</v>
      </c>
      <c r="C3" s="367"/>
      <c r="D3" s="367"/>
      <c r="E3" s="367"/>
      <c r="F3" s="367"/>
      <c r="G3" s="368">
        <f ca="1">TODAY( )</f>
        <v>46118</v>
      </c>
      <c r="H3" s="368"/>
      <c r="I3" s="368"/>
      <c r="J3" s="368"/>
    </row>
    <row r="4" spans="2:10" ht="21.75" customHeight="1" x14ac:dyDescent="0.25"/>
    <row r="5" spans="2:10" ht="21.75" customHeight="1" x14ac:dyDescent="0.25">
      <c r="B5" s="369" t="s">
        <v>414</v>
      </c>
      <c r="C5" s="369"/>
      <c r="D5" s="369"/>
      <c r="E5" s="369"/>
      <c r="F5" s="369"/>
      <c r="G5" s="369"/>
      <c r="H5" s="369"/>
      <c r="I5" s="369"/>
      <c r="J5" s="369"/>
    </row>
    <row r="6" spans="2:10" ht="75.75" customHeight="1" x14ac:dyDescent="0.25">
      <c r="B6" s="370" t="s">
        <v>415</v>
      </c>
      <c r="C6" s="370"/>
      <c r="D6" s="370"/>
      <c r="E6" s="370"/>
      <c r="F6" s="370" t="s">
        <v>1013</v>
      </c>
      <c r="G6" s="370"/>
      <c r="H6" s="370" t="s">
        <v>1007</v>
      </c>
      <c r="I6" s="370"/>
      <c r="J6" s="186" t="s">
        <v>416</v>
      </c>
    </row>
    <row r="7" spans="2:10" ht="21.75" customHeight="1" x14ac:dyDescent="0.25">
      <c r="B7" s="371" t="s">
        <v>417</v>
      </c>
      <c r="C7" s="371"/>
      <c r="D7" s="371"/>
      <c r="E7" s="371"/>
      <c r="F7" s="372">
        <f>CFO_Bill_Rate_Breakdown!$B$24</f>
        <v>50.546373899999999</v>
      </c>
      <c r="G7" s="372"/>
      <c r="H7" s="372">
        <f>CFO_Bill_Rate_Breakdown!$B$24</f>
        <v>50.546373899999999</v>
      </c>
      <c r="I7" s="372"/>
      <c r="J7" s="187" t="str">
        <f>""</f>
        <v/>
      </c>
    </row>
    <row r="8" spans="2:10" ht="21.75" customHeight="1" x14ac:dyDescent="0.25">
      <c r="B8" s="371" t="s">
        <v>418</v>
      </c>
      <c r="C8" s="371"/>
      <c r="D8" s="371"/>
      <c r="E8" s="371"/>
      <c r="F8" s="372">
        <f>IFERROR(($F$7*Inputs!$B$44)/Inputs!$B$5,0)</f>
        <v>129.97639002857142</v>
      </c>
      <c r="G8" s="372"/>
      <c r="H8" s="372">
        <f>IFERROR($F$8*Inputs!$B$40,0)</f>
        <v>90.983473019999991</v>
      </c>
      <c r="I8" s="372"/>
      <c r="J8" s="188">
        <f>F8-H8</f>
        <v>38.992917008571425</v>
      </c>
    </row>
    <row r="9" spans="2:10" ht="21.75" customHeight="1" x14ac:dyDescent="0.25">
      <c r="B9" s="371" t="s">
        <v>419</v>
      </c>
      <c r="C9" s="371"/>
      <c r="D9" s="371"/>
      <c r="E9" s="371"/>
      <c r="F9" s="372">
        <f>IFERROR(F8*1.5,0)</f>
        <v>194.96458504285712</v>
      </c>
      <c r="G9" s="372"/>
      <c r="H9" s="372">
        <f>IFERROR(H8*1.5,0)</f>
        <v>136.47520952999997</v>
      </c>
      <c r="I9" s="372"/>
      <c r="J9" s="188">
        <f>F9-H9</f>
        <v>58.489375512857151</v>
      </c>
    </row>
    <row r="10" spans="2:10" ht="21.75" customHeight="1" x14ac:dyDescent="0.25">
      <c r="B10" s="371" t="s">
        <v>420</v>
      </c>
      <c r="C10" s="371"/>
      <c r="D10" s="371"/>
      <c r="E10" s="371"/>
      <c r="F10" s="372">
        <f>IFERROR(F8*Inputs!$B$5,0)</f>
        <v>189245.62388159998</v>
      </c>
      <c r="G10" s="372"/>
      <c r="H10" s="372">
        <f>IFERROR(H8*Inputs!$B$5,0)</f>
        <v>132471.93671712</v>
      </c>
      <c r="I10" s="372"/>
      <c r="J10" s="188">
        <f>F10-H10</f>
        <v>56773.687164479983</v>
      </c>
    </row>
    <row r="11" spans="2:10" ht="21.75" customHeight="1" x14ac:dyDescent="0.25">
      <c r="B11" s="371" t="s">
        <v>421</v>
      </c>
      <c r="C11" s="371"/>
      <c r="D11" s="371"/>
      <c r="E11" s="371"/>
      <c r="F11" s="373">
        <f>_Calc_Backend!$X$36</f>
        <v>336</v>
      </c>
      <c r="G11" s="373"/>
      <c r="H11" s="373">
        <f t="shared" ref="H11:H16" si="0">F11</f>
        <v>336</v>
      </c>
      <c r="I11" s="373"/>
      <c r="J11" s="187" t="str">
        <f>""</f>
        <v/>
      </c>
    </row>
    <row r="12" spans="2:10" ht="21.75" customHeight="1" x14ac:dyDescent="0.25">
      <c r="B12" s="371" t="s">
        <v>422</v>
      </c>
      <c r="C12" s="371"/>
      <c r="D12" s="371"/>
      <c r="E12" s="371"/>
      <c r="F12" s="373">
        <f>Post_Positions!$F$12</f>
        <v>1456</v>
      </c>
      <c r="G12" s="373"/>
      <c r="H12" s="373">
        <f t="shared" si="0"/>
        <v>1456</v>
      </c>
      <c r="I12" s="373"/>
      <c r="J12" s="187" t="str">
        <f>""</f>
        <v/>
      </c>
    </row>
    <row r="13" spans="2:10" ht="21.75" hidden="1" customHeight="1" x14ac:dyDescent="0.25">
      <c r="B13" s="371" t="s">
        <v>423</v>
      </c>
      <c r="C13" s="371"/>
      <c r="D13" s="371"/>
      <c r="E13" s="371"/>
      <c r="F13" s="373">
        <f>_Calc_Backend!$X$33</f>
        <v>3865.12</v>
      </c>
      <c r="G13" s="373"/>
      <c r="H13" s="373">
        <f t="shared" si="0"/>
        <v>3865.12</v>
      </c>
      <c r="I13" s="373"/>
      <c r="J13" s="187" t="str">
        <f>""</f>
        <v/>
      </c>
    </row>
    <row r="14" spans="2:10" ht="21.75" hidden="1" customHeight="1" x14ac:dyDescent="0.25">
      <c r="B14" s="371" t="s">
        <v>424</v>
      </c>
      <c r="C14" s="371"/>
      <c r="D14" s="371"/>
      <c r="E14" s="371"/>
      <c r="F14" s="373">
        <f>Post_Positions!$D$12</f>
        <v>336</v>
      </c>
      <c r="G14" s="373"/>
      <c r="H14" s="373">
        <f t="shared" si="0"/>
        <v>336</v>
      </c>
      <c r="I14" s="373"/>
      <c r="J14" s="187" t="str">
        <f>""</f>
        <v/>
      </c>
    </row>
    <row r="15" spans="2:10" ht="21.75" customHeight="1" x14ac:dyDescent="0.25">
      <c r="B15" s="371" t="s">
        <v>423</v>
      </c>
      <c r="C15" s="371"/>
      <c r="D15" s="371"/>
      <c r="E15" s="371"/>
      <c r="F15" s="373">
        <f>Post_Positions!$H$12</f>
        <v>17472</v>
      </c>
      <c r="G15" s="373"/>
      <c r="H15" s="373">
        <f t="shared" si="0"/>
        <v>17472</v>
      </c>
      <c r="I15" s="373"/>
      <c r="J15" s="187" t="str">
        <f>""</f>
        <v/>
      </c>
    </row>
    <row r="16" spans="2:10" ht="21.75" customHeight="1" x14ac:dyDescent="0.25">
      <c r="B16" s="371" t="s">
        <v>425</v>
      </c>
      <c r="C16" s="371"/>
      <c r="D16" s="371"/>
      <c r="E16" s="371"/>
      <c r="F16" s="373">
        <f>_Calc_Backend!$X$38</f>
        <v>12</v>
      </c>
      <c r="G16" s="373"/>
      <c r="H16" s="373">
        <f t="shared" si="0"/>
        <v>12</v>
      </c>
      <c r="I16" s="373"/>
      <c r="J16" s="187" t="str">
        <f>""</f>
        <v/>
      </c>
    </row>
    <row r="17" spans="2:10" ht="24" customHeight="1" x14ac:dyDescent="0.25">
      <c r="B17" s="371" t="s">
        <v>426</v>
      </c>
      <c r="C17" s="371"/>
      <c r="D17" s="371"/>
      <c r="E17" s="371"/>
      <c r="F17" s="372">
        <f>IFERROR(F11*F8,0)</f>
        <v>43672.067049599995</v>
      </c>
      <c r="G17" s="372"/>
      <c r="H17" s="372">
        <f>IFERROR(H11*H8,0)</f>
        <v>30570.446934719996</v>
      </c>
      <c r="I17" s="372"/>
      <c r="J17" s="188">
        <f>F17-H17</f>
        <v>13101.620114879999</v>
      </c>
    </row>
    <row r="18" spans="2:10" ht="24" customHeight="1" x14ac:dyDescent="0.25">
      <c r="B18" s="371" t="s">
        <v>427</v>
      </c>
      <c r="C18" s="371"/>
      <c r="D18" s="371"/>
      <c r="E18" s="371"/>
      <c r="F18" s="372">
        <f>IFERROR(F12*F8,0)</f>
        <v>189245.62388159998</v>
      </c>
      <c r="G18" s="372"/>
      <c r="H18" s="372">
        <f>IFERROR(H12*H8,0)</f>
        <v>132471.93671712</v>
      </c>
      <c r="I18" s="372"/>
      <c r="J18" s="188">
        <f>F18-H18</f>
        <v>56773.687164479983</v>
      </c>
    </row>
    <row r="19" spans="2:10" ht="24" customHeight="1" x14ac:dyDescent="0.25">
      <c r="B19" s="371" t="s">
        <v>428</v>
      </c>
      <c r="C19" s="371"/>
      <c r="D19" s="371"/>
      <c r="E19" s="371"/>
      <c r="F19" s="372">
        <f>IFERROR(F8*F15,0)</f>
        <v>2270947.4865791998</v>
      </c>
      <c r="G19" s="372"/>
      <c r="H19" s="372">
        <f>IFERROR(H8*H15,0)</f>
        <v>1589663.2406054398</v>
      </c>
      <c r="I19" s="372"/>
      <c r="J19" s="188">
        <f>F19-H19</f>
        <v>681284.24597376003</v>
      </c>
    </row>
    <row r="20" spans="2:10" ht="24" customHeight="1" x14ac:dyDescent="0.25">
      <c r="B20" s="371" t="s">
        <v>429</v>
      </c>
      <c r="C20" s="371"/>
      <c r="D20" s="371"/>
      <c r="E20" s="371"/>
      <c r="F20" s="374" t="str">
        <f>""</f>
        <v/>
      </c>
      <c r="G20" s="374"/>
      <c r="H20" s="372">
        <f>J19</f>
        <v>681284.24597376003</v>
      </c>
      <c r="I20" s="372"/>
      <c r="J20" s="187" t="str">
        <f>""</f>
        <v/>
      </c>
    </row>
    <row r="21" spans="2:10" ht="24" customHeight="1" x14ac:dyDescent="0.25">
      <c r="B21" s="371" t="s">
        <v>430</v>
      </c>
      <c r="C21" s="371"/>
      <c r="D21" s="371"/>
      <c r="E21" s="371"/>
      <c r="F21" s="374" t="str">
        <f>""</f>
        <v/>
      </c>
      <c r="G21" s="374"/>
      <c r="H21" s="375">
        <f>IFERROR(H20/F19,0)</f>
        <v>0.30000000000000004</v>
      </c>
      <c r="I21" s="375"/>
      <c r="J21" s="187" t="str">
        <f>""</f>
        <v/>
      </c>
    </row>
    <row r="22" spans="2:10" ht="24" customHeight="1" x14ac:dyDescent="0.25">
      <c r="B22" s="371" t="s">
        <v>431</v>
      </c>
      <c r="C22" s="371"/>
      <c r="D22" s="371"/>
      <c r="E22" s="371"/>
      <c r="F22" s="376"/>
      <c r="G22" s="376"/>
      <c r="H22" s="377">
        <f>IFERROR(H19/F18,0)</f>
        <v>8.4</v>
      </c>
      <c r="I22" s="377"/>
      <c r="J22" s="187" t="str">
        <f>""</f>
        <v/>
      </c>
    </row>
    <row r="23" spans="2:10" ht="21.75" customHeight="1" x14ac:dyDescent="0.25"/>
    <row r="24" spans="2:10" ht="21.75" customHeight="1" x14ac:dyDescent="0.25">
      <c r="B24" s="369" t="s">
        <v>432</v>
      </c>
      <c r="C24" s="369"/>
      <c r="D24" s="369"/>
      <c r="E24" s="369"/>
      <c r="F24" s="369"/>
      <c r="G24" s="369"/>
      <c r="H24" s="369"/>
      <c r="I24" s="369"/>
      <c r="J24" s="369"/>
    </row>
    <row r="25" spans="2:10" ht="66" customHeight="1" x14ac:dyDescent="0.25">
      <c r="B25" s="378" t="s">
        <v>433</v>
      </c>
      <c r="C25" s="378"/>
      <c r="D25" s="378"/>
      <c r="E25" s="378"/>
      <c r="F25" s="378"/>
      <c r="G25" s="378"/>
      <c r="H25" s="378"/>
      <c r="I25" s="378"/>
      <c r="J25" s="378"/>
    </row>
    <row r="26" spans="2:10" ht="21.75" customHeight="1" x14ac:dyDescent="0.25">
      <c r="B26" s="378"/>
      <c r="C26" s="378"/>
      <c r="D26" s="378"/>
      <c r="E26" s="378"/>
      <c r="F26" s="378"/>
      <c r="G26" s="378"/>
      <c r="H26" s="378"/>
      <c r="I26" s="378"/>
      <c r="J26" s="378"/>
    </row>
    <row r="27" spans="2:10" ht="21.75" customHeight="1" x14ac:dyDescent="0.25">
      <c r="B27" s="378"/>
      <c r="C27" s="378"/>
      <c r="D27" s="378"/>
      <c r="E27" s="378"/>
      <c r="F27" s="378"/>
      <c r="G27" s="378"/>
      <c r="H27" s="378"/>
      <c r="I27" s="378"/>
      <c r="J27" s="378"/>
    </row>
    <row r="28" spans="2:10" ht="21.75" customHeight="1" x14ac:dyDescent="0.25">
      <c r="B28" s="379" t="s">
        <v>434</v>
      </c>
      <c r="C28" s="379"/>
      <c r="D28" s="379"/>
      <c r="E28" s="379"/>
      <c r="F28" s="379"/>
      <c r="G28" s="379"/>
      <c r="H28" s="379"/>
      <c r="I28" s="379"/>
      <c r="J28" s="379"/>
    </row>
    <row r="29" spans="2:10" ht="21.75" customHeight="1" x14ac:dyDescent="0.25">
      <c r="B29" s="380" t="s">
        <v>435</v>
      </c>
      <c r="C29" s="380"/>
      <c r="D29" s="380"/>
      <c r="E29" s="380"/>
      <c r="F29" s="380"/>
      <c r="G29" s="380"/>
      <c r="H29" s="380"/>
      <c r="I29" s="380"/>
      <c r="J29" s="380"/>
    </row>
    <row r="30" spans="2:10" ht="21.75" customHeight="1" x14ac:dyDescent="0.25">
      <c r="B30" s="369" t="s">
        <v>436</v>
      </c>
      <c r="C30" s="369"/>
      <c r="D30" s="369"/>
      <c r="E30" s="369"/>
      <c r="F30" s="369"/>
      <c r="G30" s="369"/>
      <c r="H30" s="369"/>
      <c r="I30" s="369"/>
      <c r="J30" s="369"/>
    </row>
    <row r="31" spans="2:10" ht="21.75" customHeight="1" x14ac:dyDescent="0.25">
      <c r="B31" s="381" t="s">
        <v>437</v>
      </c>
      <c r="C31" s="381"/>
      <c r="D31" s="381"/>
      <c r="E31" s="381"/>
      <c r="F31" s="381"/>
      <c r="G31" s="381"/>
      <c r="H31" s="381"/>
      <c r="I31" s="381"/>
      <c r="J31" s="381"/>
    </row>
    <row r="32" spans="2:10" ht="21.75" customHeight="1" x14ac:dyDescent="0.25">
      <c r="B32" s="382" t="s">
        <v>438</v>
      </c>
      <c r="C32" s="382"/>
      <c r="D32" s="382"/>
      <c r="E32" s="382"/>
      <c r="F32" s="382"/>
      <c r="G32" s="382"/>
      <c r="H32" s="382"/>
      <c r="I32" s="382"/>
      <c r="J32" s="382"/>
    </row>
    <row r="33" spans="2:10" ht="21.75" customHeight="1" x14ac:dyDescent="0.25">
      <c r="B33" s="382" t="s">
        <v>439</v>
      </c>
      <c r="C33" s="382"/>
      <c r="D33" s="382"/>
      <c r="E33" s="382"/>
      <c r="F33" s="382"/>
      <c r="G33" s="382"/>
      <c r="H33" s="382"/>
      <c r="I33" s="382"/>
      <c r="J33" s="382"/>
    </row>
    <row r="34" spans="2:10" ht="21.75" customHeight="1" x14ac:dyDescent="0.25">
      <c r="B34" s="382" t="s">
        <v>440</v>
      </c>
      <c r="C34" s="382"/>
      <c r="D34" s="382"/>
      <c r="E34" s="382"/>
      <c r="F34" s="382"/>
      <c r="G34" s="382"/>
      <c r="H34" s="382"/>
      <c r="I34" s="382"/>
      <c r="J34" s="382"/>
    </row>
    <row r="35" spans="2:10" ht="21.75" customHeight="1" x14ac:dyDescent="0.25">
      <c r="B35" s="381" t="s">
        <v>441</v>
      </c>
      <c r="C35" s="381"/>
      <c r="D35" s="381"/>
      <c r="E35" s="381"/>
      <c r="F35" s="381"/>
      <c r="G35" s="381"/>
      <c r="H35" s="381"/>
      <c r="I35" s="381"/>
      <c r="J35" s="381"/>
    </row>
    <row r="36" spans="2:10" ht="21.75" customHeight="1" x14ac:dyDescent="0.25">
      <c r="B36" s="382" t="s">
        <v>442</v>
      </c>
      <c r="C36" s="382"/>
      <c r="D36" s="382"/>
      <c r="E36" s="382"/>
      <c r="F36" s="382"/>
      <c r="G36" s="382"/>
      <c r="H36" s="382"/>
      <c r="I36" s="382"/>
      <c r="J36" s="382"/>
    </row>
    <row r="37" spans="2:10" ht="21.75" customHeight="1" x14ac:dyDescent="0.25">
      <c r="B37" s="382" t="s">
        <v>443</v>
      </c>
      <c r="C37" s="382"/>
      <c r="D37" s="382"/>
      <c r="E37" s="382"/>
      <c r="F37" s="382"/>
      <c r="G37" s="382"/>
      <c r="H37" s="382"/>
      <c r="I37" s="382"/>
      <c r="J37" s="382"/>
    </row>
    <row r="38" spans="2:10" ht="21.75" customHeight="1" x14ac:dyDescent="0.25">
      <c r="B38" s="382" t="s">
        <v>444</v>
      </c>
      <c r="C38" s="382"/>
      <c r="D38" s="382"/>
      <c r="E38" s="382"/>
      <c r="F38" s="382"/>
      <c r="G38" s="382"/>
      <c r="H38" s="382"/>
      <c r="I38" s="382"/>
      <c r="J38" s="382"/>
    </row>
    <row r="39" spans="2:10" ht="21.75" customHeight="1" x14ac:dyDescent="0.25">
      <c r="B39" s="382" t="s">
        <v>445</v>
      </c>
      <c r="C39" s="382"/>
      <c r="D39" s="382"/>
      <c r="E39" s="382"/>
      <c r="F39" s="382"/>
      <c r="G39" s="382"/>
      <c r="H39" s="382"/>
      <c r="I39" s="382"/>
      <c r="J39" s="382"/>
    </row>
    <row r="40" spans="2:10" ht="21.75" customHeight="1" x14ac:dyDescent="0.25">
      <c r="B40" s="381" t="s">
        <v>446</v>
      </c>
      <c r="C40" s="381"/>
      <c r="D40" s="381"/>
      <c r="E40" s="381"/>
      <c r="F40" s="381"/>
      <c r="G40" s="381"/>
      <c r="H40" s="381"/>
      <c r="I40" s="381"/>
      <c r="J40" s="381"/>
    </row>
    <row r="41" spans="2:10" ht="21.75" customHeight="1" x14ac:dyDescent="0.25">
      <c r="B41" s="382" t="s">
        <v>447</v>
      </c>
      <c r="C41" s="382"/>
      <c r="D41" s="382"/>
      <c r="E41" s="382"/>
      <c r="F41" s="382"/>
      <c r="G41" s="382"/>
      <c r="H41" s="382"/>
      <c r="I41" s="382"/>
      <c r="J41" s="382"/>
    </row>
    <row r="42" spans="2:10" ht="21.75" customHeight="1" x14ac:dyDescent="0.25">
      <c r="B42" s="382" t="s">
        <v>448</v>
      </c>
      <c r="C42" s="382"/>
      <c r="D42" s="382"/>
      <c r="E42" s="382"/>
      <c r="F42" s="382"/>
      <c r="G42" s="382"/>
      <c r="H42" s="382"/>
      <c r="I42" s="382"/>
      <c r="J42" s="382"/>
    </row>
    <row r="43" spans="2:10" ht="21.75" customHeight="1" x14ac:dyDescent="0.25">
      <c r="B43" s="382" t="s">
        <v>449</v>
      </c>
      <c r="C43" s="382"/>
      <c r="D43" s="382"/>
      <c r="E43" s="382"/>
      <c r="F43" s="382"/>
      <c r="G43" s="382"/>
      <c r="H43" s="382"/>
      <c r="I43" s="382"/>
      <c r="J43" s="382"/>
    </row>
    <row r="44" spans="2:10" ht="21.75" customHeight="1" x14ac:dyDescent="0.25">
      <c r="B44" s="382" t="s">
        <v>450</v>
      </c>
      <c r="C44" s="382"/>
      <c r="D44" s="382"/>
      <c r="E44" s="382"/>
      <c r="F44" s="382"/>
      <c r="G44" s="382"/>
      <c r="H44" s="382"/>
      <c r="I44" s="382"/>
      <c r="J44" s="382"/>
    </row>
    <row r="45" spans="2:10" ht="21.75" customHeight="1" x14ac:dyDescent="0.25">
      <c r="B45" s="382" t="s">
        <v>451</v>
      </c>
      <c r="C45" s="382"/>
      <c r="D45" s="382"/>
      <c r="E45" s="382"/>
      <c r="F45" s="382"/>
      <c r="G45" s="382"/>
      <c r="H45" s="382"/>
      <c r="I45" s="382"/>
      <c r="J45" s="382"/>
    </row>
    <row r="46" spans="2:10" ht="21.75" customHeight="1" x14ac:dyDescent="0.25">
      <c r="B46" s="381" t="s">
        <v>452</v>
      </c>
      <c r="C46" s="381"/>
      <c r="D46" s="381"/>
      <c r="E46" s="381"/>
      <c r="F46" s="381"/>
      <c r="G46" s="381"/>
      <c r="H46" s="381"/>
      <c r="I46" s="381"/>
      <c r="J46" s="381"/>
    </row>
    <row r="47" spans="2:10" ht="21.75" customHeight="1" x14ac:dyDescent="0.25">
      <c r="B47" s="382" t="s">
        <v>453</v>
      </c>
      <c r="C47" s="382"/>
      <c r="D47" s="382"/>
      <c r="E47" s="382"/>
      <c r="F47" s="382"/>
      <c r="G47" s="382"/>
      <c r="H47" s="382"/>
      <c r="I47" s="382"/>
      <c r="J47" s="382"/>
    </row>
    <row r="48" spans="2:10" ht="21.75" customHeight="1" x14ac:dyDescent="0.25">
      <c r="B48" s="382" t="s">
        <v>454</v>
      </c>
      <c r="C48" s="382"/>
      <c r="D48" s="382"/>
      <c r="E48" s="382"/>
      <c r="F48" s="382"/>
      <c r="G48" s="382"/>
      <c r="H48" s="382"/>
      <c r="I48" s="382"/>
      <c r="J48" s="382"/>
    </row>
    <row r="49" spans="2:10" ht="21.75" customHeight="1" x14ac:dyDescent="0.25">
      <c r="B49" s="382" t="s">
        <v>455</v>
      </c>
      <c r="C49" s="382"/>
      <c r="D49" s="382"/>
      <c r="E49" s="382"/>
      <c r="F49" s="382"/>
      <c r="G49" s="382"/>
      <c r="H49" s="382"/>
      <c r="I49" s="382"/>
      <c r="J49" s="382"/>
    </row>
    <row r="50" spans="2:10" ht="21.75" customHeight="1" x14ac:dyDescent="0.25">
      <c r="B50" s="381" t="s">
        <v>456</v>
      </c>
      <c r="C50" s="381"/>
      <c r="D50" s="381"/>
      <c r="E50" s="381"/>
      <c r="F50" s="381"/>
      <c r="G50" s="381"/>
      <c r="H50" s="381"/>
      <c r="I50" s="381"/>
      <c r="J50" s="381"/>
    </row>
    <row r="51" spans="2:10" ht="21.75" customHeight="1" x14ac:dyDescent="0.25">
      <c r="B51" s="382" t="s">
        <v>457</v>
      </c>
      <c r="C51" s="382"/>
      <c r="D51" s="382"/>
      <c r="E51" s="382"/>
      <c r="F51" s="382"/>
      <c r="G51" s="382"/>
      <c r="H51" s="382"/>
      <c r="I51" s="382"/>
      <c r="J51" s="382"/>
    </row>
    <row r="52" spans="2:10" ht="21.75" customHeight="1" x14ac:dyDescent="0.25">
      <c r="B52" s="382" t="s">
        <v>458</v>
      </c>
      <c r="C52" s="382"/>
      <c r="D52" s="382"/>
      <c r="E52" s="382"/>
      <c r="F52" s="382"/>
      <c r="G52" s="382"/>
      <c r="H52" s="382"/>
      <c r="I52" s="382"/>
      <c r="J52" s="382"/>
    </row>
    <row r="53" spans="2:10" ht="21.75" customHeight="1" x14ac:dyDescent="0.25">
      <c r="B53" s="382" t="s">
        <v>459</v>
      </c>
      <c r="C53" s="382"/>
      <c r="D53" s="382"/>
      <c r="E53" s="382"/>
      <c r="F53" s="382"/>
      <c r="G53" s="382"/>
      <c r="H53" s="382"/>
      <c r="I53" s="382"/>
      <c r="J53" s="382"/>
    </row>
    <row r="54" spans="2:10" ht="21.75" customHeight="1" x14ac:dyDescent="0.25">
      <c r="B54" s="381" t="s">
        <v>460</v>
      </c>
      <c r="C54" s="381"/>
      <c r="D54" s="381"/>
      <c r="E54" s="381"/>
      <c r="F54" s="381"/>
      <c r="G54" s="381"/>
      <c r="H54" s="381"/>
      <c r="I54" s="381"/>
      <c r="J54" s="381"/>
    </row>
    <row r="55" spans="2:10" ht="21.75" customHeight="1" x14ac:dyDescent="0.25">
      <c r="B55" s="382" t="s">
        <v>461</v>
      </c>
      <c r="C55" s="382"/>
      <c r="D55" s="382"/>
      <c r="E55" s="382"/>
      <c r="F55" s="382"/>
      <c r="G55" s="382"/>
      <c r="H55" s="382"/>
      <c r="I55" s="382"/>
      <c r="J55" s="382"/>
    </row>
    <row r="56" spans="2:10" ht="21.75" customHeight="1" x14ac:dyDescent="0.25">
      <c r="B56" s="382" t="s">
        <v>462</v>
      </c>
      <c r="C56" s="382"/>
      <c r="D56" s="382"/>
      <c r="E56" s="382"/>
      <c r="F56" s="382"/>
      <c r="G56" s="382"/>
      <c r="H56" s="382"/>
      <c r="I56" s="382"/>
      <c r="J56" s="382"/>
    </row>
    <row r="57" spans="2:10" ht="21.75" customHeight="1" x14ac:dyDescent="0.25">
      <c r="B57" s="382" t="s">
        <v>463</v>
      </c>
      <c r="C57" s="382"/>
      <c r="D57" s="382"/>
      <c r="E57" s="382"/>
      <c r="F57" s="382"/>
      <c r="G57" s="382"/>
      <c r="H57" s="382"/>
      <c r="I57" s="382"/>
      <c r="J57" s="382"/>
    </row>
    <row r="58" spans="2:10" ht="21.75" customHeight="1" x14ac:dyDescent="0.25">
      <c r="B58" s="382" t="s">
        <v>464</v>
      </c>
      <c r="C58" s="382"/>
      <c r="D58" s="382"/>
      <c r="E58" s="382"/>
      <c r="F58" s="382"/>
      <c r="G58" s="382"/>
      <c r="H58" s="382"/>
      <c r="I58" s="382"/>
      <c r="J58" s="382"/>
    </row>
    <row r="59" spans="2:10" ht="21.75" customHeight="1" x14ac:dyDescent="0.25">
      <c r="B59" s="381" t="s">
        <v>465</v>
      </c>
      <c r="C59" s="381"/>
      <c r="D59" s="381"/>
      <c r="E59" s="381"/>
      <c r="F59" s="381"/>
      <c r="G59" s="381"/>
      <c r="H59" s="381"/>
      <c r="I59" s="381"/>
      <c r="J59" s="381"/>
    </row>
    <row r="60" spans="2:10" ht="14.25" customHeight="1" x14ac:dyDescent="0.25">
      <c r="B60" s="382" t="s">
        <v>466</v>
      </c>
      <c r="C60" s="382"/>
      <c r="D60" s="382"/>
      <c r="E60" s="382"/>
      <c r="F60" s="382"/>
      <c r="G60" s="382"/>
      <c r="H60" s="382"/>
      <c r="I60" s="382"/>
      <c r="J60" s="382"/>
    </row>
    <row r="61" spans="2:10" ht="14.25" customHeight="1" x14ac:dyDescent="0.25">
      <c r="B61" s="382" t="s">
        <v>467</v>
      </c>
      <c r="C61" s="382"/>
      <c r="D61" s="382"/>
      <c r="E61" s="382"/>
      <c r="F61" s="382"/>
      <c r="G61" s="382"/>
      <c r="H61" s="382"/>
      <c r="I61" s="382"/>
      <c r="J61" s="382"/>
    </row>
    <row r="63" spans="2:10" ht="21.75" customHeight="1" x14ac:dyDescent="0.25">
      <c r="B63" s="369" t="s">
        <v>468</v>
      </c>
      <c r="C63" s="369"/>
      <c r="D63" s="369"/>
      <c r="E63" s="369"/>
      <c r="F63" s="369"/>
      <c r="G63" s="369"/>
      <c r="H63" s="369"/>
      <c r="I63" s="369"/>
      <c r="J63" s="369"/>
    </row>
    <row r="64" spans="2:10" ht="14.25" customHeight="1" x14ac:dyDescent="0.25">
      <c r="B64" s="367" t="s">
        <v>469</v>
      </c>
      <c r="C64" s="367"/>
      <c r="D64" s="367"/>
      <c r="E64" s="383"/>
      <c r="F64" s="383"/>
      <c r="G64" s="383"/>
      <c r="H64" s="383"/>
      <c r="I64" s="383"/>
      <c r="J64" s="383"/>
    </row>
    <row r="65" spans="2:10" ht="14.25" customHeight="1" x14ac:dyDescent="0.25">
      <c r="B65" s="367" t="s">
        <v>470</v>
      </c>
      <c r="C65" s="367"/>
      <c r="D65" s="367"/>
      <c r="E65" s="383"/>
      <c r="F65" s="383"/>
      <c r="G65" s="383"/>
      <c r="H65" s="383"/>
      <c r="I65" s="383"/>
      <c r="J65" s="383"/>
    </row>
    <row r="66" spans="2:10" ht="14.25" customHeight="1" x14ac:dyDescent="0.25">
      <c r="B66" s="367" t="s">
        <v>471</v>
      </c>
      <c r="C66" s="367"/>
      <c r="D66" s="367"/>
      <c r="E66" s="383"/>
      <c r="F66" s="383"/>
      <c r="G66" s="383"/>
      <c r="H66" s="383"/>
      <c r="I66" s="383"/>
      <c r="J66" s="383"/>
    </row>
    <row r="67" spans="2:10" ht="14.25" customHeight="1" x14ac:dyDescent="0.25">
      <c r="B67" s="367" t="s">
        <v>472</v>
      </c>
      <c r="C67" s="367"/>
      <c r="D67" s="367"/>
      <c r="E67" s="383"/>
      <c r="F67" s="383"/>
      <c r="G67" s="383"/>
      <c r="H67" s="383"/>
      <c r="I67" s="383"/>
      <c r="J67" s="383"/>
    </row>
    <row r="68" spans="2:10" ht="14.25" customHeight="1" x14ac:dyDescent="0.25">
      <c r="B68" s="367" t="s">
        <v>473</v>
      </c>
      <c r="C68" s="367"/>
      <c r="D68" s="367"/>
      <c r="E68" s="383"/>
      <c r="F68" s="383"/>
      <c r="G68" s="383"/>
      <c r="H68" s="383"/>
      <c r="I68" s="383"/>
      <c r="J68" s="383"/>
    </row>
  </sheetData>
  <mergeCells count="103">
    <mergeCell ref="B68:D68"/>
    <mergeCell ref="E68:J68"/>
    <mergeCell ref="B63:J63"/>
    <mergeCell ref="B64:D64"/>
    <mergeCell ref="E64:J64"/>
    <mergeCell ref="B65:D65"/>
    <mergeCell ref="E65:J65"/>
    <mergeCell ref="B66:D66"/>
    <mergeCell ref="E66:J66"/>
    <mergeCell ref="B67:D67"/>
    <mergeCell ref="E67:J67"/>
    <mergeCell ref="B53:J53"/>
    <mergeCell ref="B54:J54"/>
    <mergeCell ref="B55:J55"/>
    <mergeCell ref="B56:J56"/>
    <mergeCell ref="B57:J57"/>
    <mergeCell ref="B58:J58"/>
    <mergeCell ref="B59:J59"/>
    <mergeCell ref="B60:J60"/>
    <mergeCell ref="B61:J61"/>
    <mergeCell ref="B44:J44"/>
    <mergeCell ref="B45:J45"/>
    <mergeCell ref="B46:J46"/>
    <mergeCell ref="B47:J47"/>
    <mergeCell ref="B48:J48"/>
    <mergeCell ref="B49:J49"/>
    <mergeCell ref="B50:J50"/>
    <mergeCell ref="B51:J51"/>
    <mergeCell ref="B52:J52"/>
    <mergeCell ref="B35:J35"/>
    <mergeCell ref="B36:J36"/>
    <mergeCell ref="B37:J37"/>
    <mergeCell ref="B38:J38"/>
    <mergeCell ref="B39:J39"/>
    <mergeCell ref="B40:J40"/>
    <mergeCell ref="B41:J41"/>
    <mergeCell ref="B42:J42"/>
    <mergeCell ref="B43:J43"/>
    <mergeCell ref="B24:J24"/>
    <mergeCell ref="B25:J27"/>
    <mergeCell ref="B28:J28"/>
    <mergeCell ref="B29:J29"/>
    <mergeCell ref="B30:J30"/>
    <mergeCell ref="B31:J31"/>
    <mergeCell ref="B32:J32"/>
    <mergeCell ref="B33:J33"/>
    <mergeCell ref="B34:J34"/>
    <mergeCell ref="B20:E20"/>
    <mergeCell ref="F20:G20"/>
    <mergeCell ref="H20:I20"/>
    <mergeCell ref="B21:E21"/>
    <mergeCell ref="F21:G21"/>
    <mergeCell ref="H21:I21"/>
    <mergeCell ref="B22:E22"/>
    <mergeCell ref="F22:G22"/>
    <mergeCell ref="H22:I22"/>
    <mergeCell ref="B17:E17"/>
    <mergeCell ref="F17:G17"/>
    <mergeCell ref="H17:I17"/>
    <mergeCell ref="B18:E18"/>
    <mergeCell ref="F18:G18"/>
    <mergeCell ref="H18:I18"/>
    <mergeCell ref="B19:E19"/>
    <mergeCell ref="F19:G19"/>
    <mergeCell ref="H19:I19"/>
    <mergeCell ref="B14:E14"/>
    <mergeCell ref="F14:G14"/>
    <mergeCell ref="H14:I14"/>
    <mergeCell ref="B15:E15"/>
    <mergeCell ref="F15:G15"/>
    <mergeCell ref="H15:I15"/>
    <mergeCell ref="B16:E16"/>
    <mergeCell ref="F16:G16"/>
    <mergeCell ref="H16:I16"/>
    <mergeCell ref="B11:E11"/>
    <mergeCell ref="F11:G11"/>
    <mergeCell ref="H11:I11"/>
    <mergeCell ref="B12:E12"/>
    <mergeCell ref="F12:G12"/>
    <mergeCell ref="H12:I12"/>
    <mergeCell ref="B13:E13"/>
    <mergeCell ref="F13:G13"/>
    <mergeCell ref="H13:I13"/>
    <mergeCell ref="B8:E8"/>
    <mergeCell ref="F8:G8"/>
    <mergeCell ref="H8:I8"/>
    <mergeCell ref="B9:E9"/>
    <mergeCell ref="F9:G9"/>
    <mergeCell ref="H9:I9"/>
    <mergeCell ref="B10:E10"/>
    <mergeCell ref="F10:G10"/>
    <mergeCell ref="H10:I10"/>
    <mergeCell ref="B1:J1"/>
    <mergeCell ref="B2:J2"/>
    <mergeCell ref="B3:F3"/>
    <mergeCell ref="G3:J3"/>
    <mergeCell ref="B5:J5"/>
    <mergeCell ref="B6:E6"/>
    <mergeCell ref="F6:G6"/>
    <mergeCell ref="H6:I6"/>
    <mergeCell ref="B7:E7"/>
    <mergeCell ref="F7:G7"/>
    <mergeCell ref="H7:I7"/>
  </mergeCells>
  <pageMargins left="0.7" right="0.7" top="0.75" bottom="0.75" header="0.511811023622047" footer="0.511811023622047"/>
  <pageSetup paperSize="9" orientation="portrait" horizontalDpi="300" verticalDpi="300"/>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1"/>
  <sheetViews>
    <sheetView zoomScaleNormal="100" workbookViewId="0"/>
  </sheetViews>
  <sheetFormatPr defaultColWidth="8.6640625" defaultRowHeight="12.75" customHeight="1" x14ac:dyDescent="0.25"/>
  <cols>
    <col min="1" max="2" width="28" customWidth="1"/>
    <col min="3" max="4" width="16" customWidth="1"/>
  </cols>
  <sheetData>
    <row r="1" spans="1:4" ht="17.25" customHeight="1" x14ac:dyDescent="0.3">
      <c r="A1" s="384" t="s">
        <v>516</v>
      </c>
      <c r="B1" s="384"/>
      <c r="C1" s="384"/>
      <c r="D1" s="384"/>
    </row>
    <row r="2" spans="1:4" ht="15" customHeight="1" x14ac:dyDescent="0.25">
      <c r="A2" s="385" t="s">
        <v>517</v>
      </c>
      <c r="B2" s="385"/>
      <c r="C2" s="385"/>
      <c r="D2" s="385"/>
    </row>
    <row r="4" spans="1:4" ht="15" customHeight="1" x14ac:dyDescent="0.25">
      <c r="A4" s="193" t="s">
        <v>518</v>
      </c>
      <c r="B4" s="193" t="s">
        <v>519</v>
      </c>
      <c r="C4" s="193" t="s">
        <v>520</v>
      </c>
      <c r="D4" s="193" t="s">
        <v>61</v>
      </c>
    </row>
    <row r="5" spans="1:4" ht="15" customHeight="1" x14ac:dyDescent="0.25">
      <c r="A5" s="194" t="s">
        <v>521</v>
      </c>
      <c r="B5" s="194" t="s">
        <v>522</v>
      </c>
      <c r="C5" s="195">
        <f>Vehicle!$C$30</f>
        <v>3.5046453546453544</v>
      </c>
      <c r="D5" s="195">
        <f>Vehicle!$C$29</f>
        <v>61233.163636363635</v>
      </c>
    </row>
    <row r="6" spans="1:4" ht="15" customHeight="1" x14ac:dyDescent="0.25">
      <c r="A6" s="194" t="s">
        <v>523</v>
      </c>
      <c r="B6" s="194" t="s">
        <v>524</v>
      </c>
      <c r="C6" s="195">
        <f>Uniform_Equipment!$C$36</f>
        <v>1.1071394230769229</v>
      </c>
      <c r="D6" s="195">
        <f>Uniform_Equipment!$C$35</f>
        <v>19343.939999999999</v>
      </c>
    </row>
    <row r="7" spans="1:4" ht="15" customHeight="1" x14ac:dyDescent="0.25">
      <c r="A7" s="194" t="s">
        <v>525</v>
      </c>
      <c r="B7" s="194" t="s">
        <v>526</v>
      </c>
      <c r="C7" s="195">
        <f>IFERROR(Workforce_Maintenance_Module!$E$7/_Calc_Backend!$X$37,0)</f>
        <v>0.86020146520146534</v>
      </c>
      <c r="D7" s="195">
        <f>Workforce_Maintenance_Module!$E$7</f>
        <v>15029.440000000002</v>
      </c>
    </row>
    <row r="8" spans="1:4" ht="15" customHeight="1" x14ac:dyDescent="0.25">
      <c r="A8" t="s">
        <v>527</v>
      </c>
      <c r="B8" t="s">
        <v>528</v>
      </c>
      <c r="C8" s="191">
        <f>IFERROR(Training_Module!$J$9/_Calc_Backend!$X$37,0)</f>
        <v>2.2161172161172167</v>
      </c>
      <c r="D8" s="191">
        <f>Training_Module!$J$9</f>
        <v>38720.000000000007</v>
      </c>
    </row>
    <row r="9" spans="1:4" ht="13.5" customHeight="1" x14ac:dyDescent="0.25">
      <c r="A9" s="196" t="s">
        <v>529</v>
      </c>
      <c r="B9" s="196"/>
      <c r="C9" s="197">
        <f>SUM(C5:C8)</f>
        <v>7.6881034590409598</v>
      </c>
      <c r="D9" s="197">
        <f>SUM(D5:D8)</f>
        <v>134326.54363636364</v>
      </c>
    </row>
    <row r="10" spans="1:4" ht="15" customHeight="1" x14ac:dyDescent="0.25">
      <c r="B10" s="386"/>
      <c r="C10" s="386"/>
      <c r="D10" s="386"/>
    </row>
    <row r="11" spans="1:4" ht="13.5" customHeight="1" x14ac:dyDescent="0.25">
      <c r="A11" s="198" t="s">
        <v>530</v>
      </c>
      <c r="B11" t="s">
        <v>531</v>
      </c>
    </row>
  </sheetData>
  <mergeCells count="3">
    <mergeCell ref="A1:D1"/>
    <mergeCell ref="A2:D2"/>
    <mergeCell ref="B10:D10"/>
  </mergeCells>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D99694"/>
  </sheetPr>
  <dimension ref="A1:O70"/>
  <sheetViews>
    <sheetView showGridLines="0" topLeftCell="A4" zoomScaleNormal="100" workbookViewId="0">
      <selection activeCell="C70" sqref="C70"/>
    </sheetView>
  </sheetViews>
  <sheetFormatPr defaultColWidth="8.6640625" defaultRowHeight="12.75" customHeight="1" x14ac:dyDescent="0.25"/>
  <cols>
    <col min="1" max="1" width="56.6640625" bestFit="1" customWidth="1"/>
    <col min="2" max="2" width="14.33203125" customWidth="1"/>
    <col min="3" max="3" width="13.33203125" customWidth="1"/>
    <col min="4" max="4" width="16" customWidth="1"/>
    <col min="5" max="5" width="13.33203125" customWidth="1"/>
    <col min="6" max="6" width="11.77734375" customWidth="1"/>
    <col min="7" max="7" width="16" customWidth="1"/>
    <col min="8" max="8" width="12" customWidth="1"/>
    <col min="9" max="9" width="14.21875" customWidth="1"/>
    <col min="10" max="10" width="11.77734375" customWidth="1"/>
    <col min="11" max="11" width="14.21875" customWidth="1"/>
    <col min="12" max="12" width="14.33203125" customWidth="1"/>
    <col min="13" max="13" width="14.21875" customWidth="1"/>
    <col min="14" max="14" width="14" customWidth="1"/>
    <col min="15" max="15" width="12" customWidth="1"/>
  </cols>
  <sheetData>
    <row r="1" spans="1:15" ht="24" customHeight="1" x14ac:dyDescent="0.25">
      <c r="A1" s="360" t="s">
        <v>532</v>
      </c>
      <c r="B1" s="360"/>
      <c r="C1" s="360"/>
      <c r="D1" s="360"/>
      <c r="E1" s="360"/>
      <c r="F1" s="360"/>
      <c r="G1" s="360"/>
      <c r="H1" s="360"/>
      <c r="I1" s="360"/>
      <c r="J1" s="360"/>
      <c r="K1" s="360"/>
      <c r="L1" s="360"/>
      <c r="M1" s="360"/>
      <c r="N1" s="360"/>
      <c r="O1" s="360"/>
    </row>
    <row r="2" spans="1:15" ht="21.75" customHeight="1" x14ac:dyDescent="0.25">
      <c r="A2" s="361" t="s">
        <v>533</v>
      </c>
      <c r="B2" s="361"/>
      <c r="C2" s="361"/>
      <c r="D2" s="361"/>
      <c r="E2" s="361"/>
      <c r="F2" s="361"/>
      <c r="G2" s="361"/>
      <c r="H2" s="361"/>
      <c r="I2" s="361"/>
      <c r="J2" s="361"/>
      <c r="K2" s="361"/>
      <c r="L2" s="361"/>
      <c r="M2" s="361"/>
      <c r="N2" s="361"/>
      <c r="O2" s="361"/>
    </row>
    <row r="3" spans="1:15" ht="21.75" customHeight="1" x14ac:dyDescent="0.25">
      <c r="A3" s="199" t="s">
        <v>534</v>
      </c>
      <c r="B3" s="200" t="s">
        <v>535</v>
      </c>
      <c r="D3" s="199" t="s">
        <v>536</v>
      </c>
      <c r="E3" s="200">
        <f>Inputs!$B$56</f>
        <v>0.03</v>
      </c>
      <c r="G3" s="199" t="s">
        <v>537</v>
      </c>
      <c r="H3" s="201">
        <f>Appraisal_Full_Scope_Report!$F$15</f>
        <v>17472</v>
      </c>
    </row>
    <row r="4" spans="1:15" ht="21.75" customHeight="1" x14ac:dyDescent="0.25">
      <c r="A4" s="199" t="s">
        <v>538</v>
      </c>
      <c r="B4" s="200">
        <f>IF($B$3="Low",Inputs!$B$58,IF($B$3="High",Inputs!$B$60,IF($B$3="Custom",Inputs!$B$56,Inputs!$B$59)))</f>
        <v>0.03</v>
      </c>
      <c r="D4" s="202" t="s">
        <v>539</v>
      </c>
      <c r="E4" s="203">
        <f>Appraisal_Full_Scope_Report!$F$8</f>
        <v>129.97639002857142</v>
      </c>
      <c r="G4" s="199" t="s">
        <v>540</v>
      </c>
      <c r="H4" s="203">
        <f>Appraisal_Full_Scope_Report!$H$8</f>
        <v>90.983473019999991</v>
      </c>
    </row>
    <row r="6" spans="1:15" ht="54.75" customHeight="1" x14ac:dyDescent="0.25">
      <c r="A6" s="96" t="s">
        <v>386</v>
      </c>
      <c r="B6" s="96" t="s">
        <v>541</v>
      </c>
      <c r="C6" s="96" t="s">
        <v>542</v>
      </c>
      <c r="D6" s="96" t="s">
        <v>543</v>
      </c>
      <c r="E6" s="96" t="s">
        <v>544</v>
      </c>
      <c r="F6" s="96" t="s">
        <v>545</v>
      </c>
      <c r="G6" s="96" t="s">
        <v>546</v>
      </c>
      <c r="H6" s="96" t="s">
        <v>547</v>
      </c>
      <c r="I6" s="96" t="s">
        <v>548</v>
      </c>
      <c r="J6" s="96" t="s">
        <v>549</v>
      </c>
      <c r="K6" s="96" t="s">
        <v>550</v>
      </c>
      <c r="L6" s="96" t="s">
        <v>551</v>
      </c>
      <c r="M6" s="96" t="s">
        <v>552</v>
      </c>
    </row>
    <row r="7" spans="1:15" ht="14.25" customHeight="1" x14ac:dyDescent="0.25">
      <c r="A7" s="204" t="s">
        <v>64</v>
      </c>
      <c r="B7" s="58"/>
      <c r="C7" s="58"/>
      <c r="D7" s="58"/>
      <c r="E7" s="58"/>
      <c r="F7" s="58"/>
      <c r="G7" s="58"/>
      <c r="H7" s="58"/>
      <c r="I7" s="58"/>
      <c r="J7" s="58"/>
      <c r="K7" s="58"/>
      <c r="L7" s="58"/>
      <c r="M7" s="58"/>
    </row>
    <row r="8" spans="1:15" ht="13.5" customHeight="1" x14ac:dyDescent="0.3">
      <c r="A8" s="205" t="str">
        <f>CFO_Bill_Rate_Breakdown!A5</f>
        <v>Base Consolidated Blended Direct Labor Wage</v>
      </c>
      <c r="B8" s="206">
        <f>CFO_Bill_Rate_Breakdown!B5</f>
        <v>33.74</v>
      </c>
      <c r="C8" s="206">
        <f>CFO_Bill_Rate_Breakdown!C5</f>
        <v>589505.28000000003</v>
      </c>
      <c r="D8" s="206">
        <f>IF(Inputs!$C$64="Manual",IF(OR($B8="",Inputs!$B$65=0,Inputs!$C$65=""),"",$B8*(Inputs!$C$65/Inputs!$B$65)),IF(OR($B8="",$B8=0),"",$B8*(1+$B$4)^1))</f>
        <v>34.752200000000002</v>
      </c>
      <c r="E8" s="206">
        <f>IF(OR(D8="",D8=0,Inputs!$C$71=""),"",D8*Inputs!$C$71)</f>
        <v>607190.43839999998</v>
      </c>
      <c r="F8" s="206">
        <f>IF(Inputs!$D$64="Manual",IF(OR($B8="",Inputs!$B$65=0,Inputs!$D$65=""),"",$B8*(Inputs!$D$65/Inputs!$B$65)),IF(OR($B8="",$B8=0),"",$B8*(1+$B$4)^2))</f>
        <v>35.794766000000003</v>
      </c>
      <c r="G8" s="206">
        <f>IF(OR(F8="",F8=0,Inputs!$D$71=""),"",F8*Inputs!$D$71)</f>
        <v>625406.15155200008</v>
      </c>
      <c r="H8" s="206">
        <f>IF(Inputs!$E$64="Manual",IF(OR($B8="",Inputs!$B$65=0,Inputs!$E$65=""),"",$B8*(Inputs!$E$65/Inputs!$B$65)),IF(OR($B8="",$B8=0),"",$B8*(1+$B$4)^3))</f>
        <v>36.868608980000005</v>
      </c>
      <c r="I8" s="206">
        <f>IF(OR(H8="",H8=0,Inputs!$E$71=""),"",H8*Inputs!$E$71)</f>
        <v>644168.33609856013</v>
      </c>
      <c r="J8" s="206">
        <f>IF(Inputs!$F$64="Manual",IF(OR($B8="",Inputs!$B$65=0,Inputs!$F$65=""),"",$B8*(Inputs!$F$65/Inputs!$B$65)),IF(OR($B8="",$B8=0),"",$B8*(1+$B$4)^4))</f>
        <v>37.974667249399999</v>
      </c>
      <c r="K8" s="206">
        <f>IF(OR(J8="",J8=0,Inputs!$F$71=""),"",J8*Inputs!$F$71)</f>
        <v>663493.38618151681</v>
      </c>
      <c r="L8" s="206">
        <f t="shared" ref="L8:L15" si="0">SUM(C8,E8,G8,I8,K8)</f>
        <v>3129763.5922320774</v>
      </c>
      <c r="M8" s="206">
        <f t="shared" ref="M8:M15" si="1">AVERAGE(B8,D8,F8,H8,J8)</f>
        <v>35.826048445880005</v>
      </c>
    </row>
    <row r="9" spans="1:15" ht="13.5" customHeight="1" x14ac:dyDescent="0.3">
      <c r="A9" s="205" t="str">
        <f>CFO_Bill_Rate_Breakdown!A6</f>
        <v xml:space="preserve">Locality Pay </v>
      </c>
      <c r="B9" s="206">
        <f>CFO_Bill_Rate_Breakdown!B6</f>
        <v>0</v>
      </c>
      <c r="C9" s="206">
        <f>CFO_Bill_Rate_Breakdown!C6</f>
        <v>0</v>
      </c>
      <c r="D9" s="206" t="str">
        <f>IF(Inputs!$C$64="Manual",IF(OR($B9="",Inputs!$B$65=0,Inputs!$C$65=""),"",$B9*(Inputs!$C$65/Inputs!$B$65)),IF(OR($B9="",$B9=0),"",$B9*(1+$B$4)^1))</f>
        <v/>
      </c>
      <c r="E9" s="206" t="str">
        <f>IF(OR(D9="",D9=0,Inputs!$C$71=""),"",D9*Inputs!$C$71)</f>
        <v/>
      </c>
      <c r="F9" s="206" t="str">
        <f>IF(Inputs!$D$64="Manual",IF(OR($B9="",Inputs!$B$65=0,Inputs!$D$65=""),"",$B9*(Inputs!$D$65/Inputs!$B$65)),IF(OR($B9="",$B9=0),"",$B9*(1+$B$4)^2))</f>
        <v/>
      </c>
      <c r="G9" s="206" t="str">
        <f>IF(OR(F9="",F9=0,Inputs!$D$71=""),"",F9*Inputs!$D$71)</f>
        <v/>
      </c>
      <c r="H9" s="206" t="str">
        <f>IF(Inputs!$E$64="Manual",IF(OR($B9="",Inputs!$B$65=0,Inputs!$E$65=""),"",$B9*(Inputs!$E$65/Inputs!$B$65)),IF(OR($B9="",$B9=0),"",$B9*(1+$B$4)^3))</f>
        <v/>
      </c>
      <c r="I9" s="206" t="str">
        <f>IF(OR(H9="",H9=0,Inputs!$E$71=""),"",H9*Inputs!$E$71)</f>
        <v/>
      </c>
      <c r="J9" s="206" t="str">
        <f>IF(Inputs!$F$64="Manual",IF(OR($B9="",Inputs!$B$65=0,Inputs!$F$65=""),"",$B9*(Inputs!$F$65/Inputs!$B$65)),IF(OR($B9="",$B9=0),"",$B9*(1+$B$4)^4))</f>
        <v/>
      </c>
      <c r="K9" s="206" t="str">
        <f>IF(OR(J9="",J9=0,Inputs!$F$71=""),"",J9*Inputs!$F$71)</f>
        <v/>
      </c>
      <c r="L9" s="206">
        <f t="shared" si="0"/>
        <v>0</v>
      </c>
      <c r="M9" s="206">
        <f t="shared" si="1"/>
        <v>0</v>
      </c>
    </row>
    <row r="10" spans="1:15" ht="13.5" customHeight="1" x14ac:dyDescent="0.3">
      <c r="A10" s="205" t="str">
        <f>CFO_Bill_Rate_Breakdown!A7</f>
        <v>Labor Market Adjustment</v>
      </c>
      <c r="B10" s="206">
        <f>CFO_Bill_Rate_Breakdown!B7</f>
        <v>0</v>
      </c>
      <c r="C10" s="206">
        <f>CFO_Bill_Rate_Breakdown!C7</f>
        <v>0</v>
      </c>
      <c r="D10" s="206" t="str">
        <f>IF(Inputs!$C$64="Manual",IF(OR($B10="",Inputs!$B$65=0,Inputs!$C$65=""),"",$B10*(Inputs!$C$65/Inputs!$B$65)),IF(OR($B10="",$B10=0),"",$B10*(1+$B$4)^1))</f>
        <v/>
      </c>
      <c r="E10" s="206" t="str">
        <f>IF(OR(D10="",D10=0,Inputs!$C$71=""),"",D10*Inputs!$C$71)</f>
        <v/>
      </c>
      <c r="F10" s="206" t="str">
        <f>IF(Inputs!$D$64="Manual",IF(OR($B10="",Inputs!$B$65=0,Inputs!$D$65=""),"",$B10*(Inputs!$D$65/Inputs!$B$65)),IF(OR($B10="",$B10=0),"",$B10*(1+$B$4)^2))</f>
        <v/>
      </c>
      <c r="G10" s="206" t="str">
        <f>IF(OR(F10="",F10=0,Inputs!$D$71=""),"",F10*Inputs!$D$71)</f>
        <v/>
      </c>
      <c r="H10" s="206" t="str">
        <f>IF(Inputs!$E$64="Manual",IF(OR($B10="",Inputs!$B$65=0,Inputs!$E$65=""),"",$B10*(Inputs!$E$65/Inputs!$B$65)),IF(OR($B10="",$B10=0),"",$B10*(1+$B$4)^3))</f>
        <v/>
      </c>
      <c r="I10" s="206" t="str">
        <f>IF(OR(H10="",H10=0,Inputs!$E$71=""),"",H10*Inputs!$E$71)</f>
        <v/>
      </c>
      <c r="J10" s="206" t="str">
        <f>IF(Inputs!$F$64="Manual",IF(OR($B10="",Inputs!$B$65=0,Inputs!$F$65=""),"",$B10*(Inputs!$F$65/Inputs!$B$65)),IF(OR($B10="",$B10=0),"",$B10*(1+$B$4)^4))</f>
        <v/>
      </c>
      <c r="K10" s="206" t="str">
        <f>IF(OR(J10="",J10=0,Inputs!$F$71=""),"",J10*Inputs!$F$71)</f>
        <v/>
      </c>
      <c r="L10" s="206">
        <f t="shared" si="0"/>
        <v>0</v>
      </c>
      <c r="M10" s="206">
        <f t="shared" si="1"/>
        <v>0</v>
      </c>
    </row>
    <row r="11" spans="1:15" ht="13.5" customHeight="1" x14ac:dyDescent="0.3">
      <c r="A11" s="205" t="str">
        <f>CFO_Bill_Rate_Breakdown!A8</f>
        <v>H&amp;W (Cash)</v>
      </c>
      <c r="B11" s="206">
        <f>CFO_Bill_Rate_Breakdown!B8</f>
        <v>4.22</v>
      </c>
      <c r="C11" s="206">
        <f>CFO_Bill_Rate_Breakdown!C8</f>
        <v>73731.839999999997</v>
      </c>
      <c r="D11" s="206">
        <f>IF(Inputs!$C$64="Manual",IF(OR($B11="",Inputs!$B$65=0,Inputs!$C$65=""),"",$B11*(Inputs!$C$65/Inputs!$B$65)),IF(OR($B11="",$B11=0),"",$B11*(1+$B$4)^1))</f>
        <v>4.3465999999999996</v>
      </c>
      <c r="E11" s="206">
        <f>IF(OR(D11="",D11=0,Inputs!$C$71=""),"",D11*Inputs!$C$71)</f>
        <v>75943.795199999993</v>
      </c>
      <c r="F11" s="206">
        <f>IF(Inputs!$D$64="Manual",IF(OR($B11="",Inputs!$B$65=0,Inputs!$D$65=""),"",$B11*(Inputs!$D$65/Inputs!$B$65)),IF(OR($B11="",$B11=0),"",$B11*(1+$B$4)^2))</f>
        <v>4.4769979999999991</v>
      </c>
      <c r="G11" s="206">
        <f>IF(OR(F11="",F11=0,Inputs!$D$71=""),"",F11*Inputs!$D$71)</f>
        <v>78222.109055999987</v>
      </c>
      <c r="H11" s="206">
        <f>IF(Inputs!$E$64="Manual",IF(OR($B11="",Inputs!$B$65=0,Inputs!$E$65=""),"",$B11*(Inputs!$E$65/Inputs!$B$65)),IF(OR($B11="",$B11=0),"",$B11*(1+$B$4)^3))</f>
        <v>4.6113079399999997</v>
      </c>
      <c r="I11" s="206">
        <f>IF(OR(H11="",H11=0,Inputs!$E$71=""),"",H11*Inputs!$E$71)</f>
        <v>80568.772327679995</v>
      </c>
      <c r="J11" s="206">
        <f>IF(Inputs!$F$64="Manual",IF(OR($B11="",Inputs!$B$65=0,Inputs!$F$65=""),"",$B11*(Inputs!$F$65/Inputs!$B$65)),IF(OR($B11="",$B11=0),"",$B11*(1+$B$4)^4))</f>
        <v>4.7496471781999992</v>
      </c>
      <c r="K11" s="206">
        <f>IF(OR(J11="",J11=0,Inputs!$F$71=""),"",J11*Inputs!$F$71)</f>
        <v>82985.835497510387</v>
      </c>
      <c r="L11" s="206">
        <f t="shared" si="0"/>
        <v>391452.35208119033</v>
      </c>
      <c r="M11" s="206">
        <f t="shared" si="1"/>
        <v>4.4809106236399998</v>
      </c>
    </row>
    <row r="12" spans="1:15" ht="13.5" customHeight="1" x14ac:dyDescent="0.3">
      <c r="A12" s="205" t="str">
        <f>CFO_Bill_Rate_Breakdown!A9</f>
        <v>Shift Differential</v>
      </c>
      <c r="B12" s="206">
        <f>CFO_Bill_Rate_Breakdown!B9</f>
        <v>0</v>
      </c>
      <c r="C12" s="206">
        <f>CFO_Bill_Rate_Breakdown!C9</f>
        <v>0</v>
      </c>
      <c r="D12" s="206" t="str">
        <f>IF(Inputs!$C$64="Manual",IF(OR($B12="",Inputs!$B$65=0,Inputs!$C$65=""),"",$B12*(Inputs!$C$65/Inputs!$B$65)),IF(OR($B12="",$B12=0),"",$B12*(1+$B$4)^1))</f>
        <v/>
      </c>
      <c r="E12" s="206" t="str">
        <f>IF(OR(D12="",D12=0,Inputs!$C$71=""),"",D12*Inputs!$C$71)</f>
        <v/>
      </c>
      <c r="F12" s="206" t="str">
        <f>IF(Inputs!$D$64="Manual",IF(OR($B12="",Inputs!$B$65=0,Inputs!$D$65=""),"",$B12*(Inputs!$D$65/Inputs!$B$65)),IF(OR($B12="",$B12=0),"",$B12*(1+$B$4)^2))</f>
        <v/>
      </c>
      <c r="G12" s="206" t="str">
        <f>IF(OR(F12="",F12=0,Inputs!$D$71=""),"",F12*Inputs!$D$71)</f>
        <v/>
      </c>
      <c r="H12" s="206" t="str">
        <f>IF(Inputs!$E$64="Manual",IF(OR($B12="",Inputs!$B$65=0,Inputs!$E$65=""),"",$B12*(Inputs!$E$65/Inputs!$B$65)),IF(OR($B12="",$B12=0),"",$B12*(1+$B$4)^3))</f>
        <v/>
      </c>
      <c r="I12" s="206" t="str">
        <f>IF(OR(H12="",H12=0,Inputs!$E$71=""),"",H12*Inputs!$E$71)</f>
        <v/>
      </c>
      <c r="J12" s="206" t="str">
        <f>IF(Inputs!$F$64="Manual",IF(OR($B12="",Inputs!$B$65=0,Inputs!$F$65=""),"",$B12*(Inputs!$F$65/Inputs!$B$65)),IF(OR($B12="",$B12=0),"",$B12*(1+$B$4)^4))</f>
        <v/>
      </c>
      <c r="K12" s="206" t="str">
        <f>IF(OR(J12="",J12=0,Inputs!$F$71=""),"",J12*Inputs!$F$71)</f>
        <v/>
      </c>
      <c r="L12" s="206">
        <f t="shared" si="0"/>
        <v>0</v>
      </c>
      <c r="M12" s="206">
        <f t="shared" si="1"/>
        <v>0</v>
      </c>
    </row>
    <row r="13" spans="1:15" ht="13.5" customHeight="1" x14ac:dyDescent="0.3">
      <c r="A13" s="205" t="str">
        <f>CFO_Bill_Rate_Breakdown!A10</f>
        <v>OT/Holiday Premium</v>
      </c>
      <c r="B13" s="206">
        <f>CFO_Bill_Rate_Breakdown!B10</f>
        <v>2.6992000000000003</v>
      </c>
      <c r="C13" s="206">
        <f>CFO_Bill_Rate_Breakdown!C10</f>
        <v>47160.422400000003</v>
      </c>
      <c r="D13" s="206">
        <f>IF(Inputs!$C$64="Manual",IF(OR($B13="",Inputs!$B$65=0,Inputs!$C$65=""),"",$B13*(Inputs!$C$65/Inputs!$B$65)),IF(OR($B13="",$B13=0),"",$B13*(1+$B$4)^1))</f>
        <v>2.7801760000000004</v>
      </c>
      <c r="E13" s="206">
        <f>IF(OR(D13="",D13=0,Inputs!$C$71=""),"",D13*Inputs!$C$71)</f>
        <v>48575.23507200001</v>
      </c>
      <c r="F13" s="206">
        <f>IF(Inputs!$D$64="Manual",IF(OR($B13="",Inputs!$B$65=0,Inputs!$D$65=""),"",$B13*(Inputs!$D$65/Inputs!$B$65)),IF(OR($B13="",$B13=0),"",$B13*(1+$B$4)^2))</f>
        <v>2.86358128</v>
      </c>
      <c r="G13" s="206">
        <f>IF(OR(F13="",F13=0,Inputs!$D$71=""),"",F13*Inputs!$D$71)</f>
        <v>50032.492124160002</v>
      </c>
      <c r="H13" s="206">
        <f>IF(Inputs!$E$64="Manual",IF(OR($B13="",Inputs!$B$65=0,Inputs!$E$65=""),"",$B13*(Inputs!$E$65/Inputs!$B$65)),IF(OR($B13="",$B13=0),"",$B13*(1+$B$4)^3))</f>
        <v>2.9494887184000005</v>
      </c>
      <c r="I13" s="206">
        <f>IF(OR(H13="",H13=0,Inputs!$E$71=""),"",H13*Inputs!$E$71)</f>
        <v>51533.46688788481</v>
      </c>
      <c r="J13" s="206">
        <f>IF(Inputs!$F$64="Manual",IF(OR($B13="",Inputs!$B$65=0,Inputs!$F$65=""),"",$B13*(Inputs!$F$65/Inputs!$B$65)),IF(OR($B13="",$B13=0),"",$B13*(1+$B$4)^4))</f>
        <v>3.0379733799520001</v>
      </c>
      <c r="K13" s="206">
        <f>IF(OR(J13="",J13=0,Inputs!$F$71=""),"",J13*Inputs!$F$71)</f>
        <v>53079.47089452135</v>
      </c>
      <c r="L13" s="206">
        <f t="shared" si="0"/>
        <v>250381.08737856615</v>
      </c>
      <c r="M13" s="206">
        <f t="shared" si="1"/>
        <v>2.8660838756704003</v>
      </c>
    </row>
    <row r="14" spans="1:15" ht="13.5" customHeight="1" x14ac:dyDescent="0.3">
      <c r="A14" s="205" t="str">
        <f>CFO_Bill_Rate_Breakdown!A11</f>
        <v>DON/DOFF</v>
      </c>
      <c r="B14" s="206">
        <f>CFO_Bill_Rate_Breakdown!B11</f>
        <v>1.2706</v>
      </c>
      <c r="C14" s="206">
        <f>CFO_Bill_Rate_Breakdown!C11</f>
        <v>22199.923199999997</v>
      </c>
      <c r="D14" s="206">
        <f>IF(Inputs!$C$64="Manual",IF(OR($B14="",Inputs!$B$65=0,Inputs!$C$65=""),"",$B14*(Inputs!$C$65/Inputs!$B$65)),IF(OR($B14="",$B14=0),"",$B14*(1+$B$4)^1))</f>
        <v>1.308718</v>
      </c>
      <c r="E14" s="206">
        <f>IF(OR(D14="",D14=0,Inputs!$C$71=""),"",D14*Inputs!$C$71)</f>
        <v>22865.920896</v>
      </c>
      <c r="F14" s="206">
        <f>IF(Inputs!$D$64="Manual",IF(OR($B14="",Inputs!$B$65=0,Inputs!$D$65=""),"",$B14*(Inputs!$D$65/Inputs!$B$65)),IF(OR($B14="",$B14=0),"",$B14*(1+$B$4)^2))</f>
        <v>1.3479795399999999</v>
      </c>
      <c r="G14" s="206">
        <f>IF(OR(F14="",F14=0,Inputs!$D$71=""),"",F14*Inputs!$D$71)</f>
        <v>23551.898522879997</v>
      </c>
      <c r="H14" s="206">
        <f>IF(Inputs!$E$64="Manual",IF(OR($B14="",Inputs!$B$65=0,Inputs!$E$65=""),"",$B14*(Inputs!$E$65/Inputs!$B$65)),IF(OR($B14="",$B14=0),"",$B14*(1+$B$4)^3))</f>
        <v>1.3884189262</v>
      </c>
      <c r="I14" s="206">
        <f>IF(OR(H14="",H14=0,Inputs!$E$71=""),"",H14*Inputs!$E$71)</f>
        <v>24258.4554785664</v>
      </c>
      <c r="J14" s="206">
        <f>IF(Inputs!$F$64="Manual",IF(OR($B14="",Inputs!$B$65=0,Inputs!$F$65=""),"",$B14*(Inputs!$F$65/Inputs!$B$65)),IF(OR($B14="",$B14=0),"",$B14*(1+$B$4)^4))</f>
        <v>1.4300714939859998</v>
      </c>
      <c r="K14" s="206">
        <f>IF(OR(J14="",J14=0,Inputs!$F$71=""),"",J14*Inputs!$F$71)</f>
        <v>24986.209142923388</v>
      </c>
      <c r="L14" s="206">
        <f t="shared" si="0"/>
        <v>117862.40724036979</v>
      </c>
      <c r="M14" s="206">
        <f t="shared" si="1"/>
        <v>1.3491575920371999</v>
      </c>
    </row>
    <row r="15" spans="1:15" ht="13.5" customHeight="1" x14ac:dyDescent="0.3">
      <c r="A15" s="207" t="str">
        <f>CFO_Bill_Rate_Breakdown!A12</f>
        <v>Total Direct Labor</v>
      </c>
      <c r="B15" s="208">
        <f>CFO_Bill_Rate_Breakdown!B12</f>
        <v>41.9298</v>
      </c>
      <c r="C15" s="206">
        <f>CFO_Bill_Rate_Breakdown!C12</f>
        <v>732597.4656</v>
      </c>
      <c r="D15" s="206">
        <f>IF(Inputs!$C$64="Manual",IF(OR($B15="",Inputs!$B$65=0,Inputs!$C$65=""),"",$B15*(Inputs!$C$65/Inputs!$B$65)),IF(OR($B15="",$B15=0),"",$B15*(1+$B$4)^1))</f>
        <v>43.187694</v>
      </c>
      <c r="E15" s="206">
        <f>IF(OR(D15="",D15=0,Inputs!$C$71=""),"",D15*Inputs!$C$71)</f>
        <v>754575.38956799998</v>
      </c>
      <c r="F15" s="206">
        <f>IF(Inputs!$D$64="Manual",IF(OR($B15="",Inputs!$B$65=0,Inputs!$D$65=""),"",$B15*(Inputs!$D$65/Inputs!$B$65)),IF(OR($B15="",$B15=0),"",$B15*(1+$B$4)^2))</f>
        <v>44.48332482</v>
      </c>
      <c r="G15" s="206">
        <f>IF(OR(F15="",F15=0,Inputs!$D$71=""),"",F15*Inputs!$D$71)</f>
        <v>777212.65125503996</v>
      </c>
      <c r="H15" s="206">
        <f>IF(Inputs!$E$64="Manual",IF(OR($B15="",Inputs!$B$65=0,Inputs!$E$65=""),"",$B15*(Inputs!$E$65/Inputs!$B$65)),IF(OR($B15="",$B15=0),"",$B15*(1+$B$4)^3))</f>
        <v>45.817824564600002</v>
      </c>
      <c r="I15" s="206">
        <f>IF(OR(H15="",H15=0,Inputs!$E$71=""),"",H15*Inputs!$E$71)</f>
        <v>800529.03079269128</v>
      </c>
      <c r="J15" s="206">
        <f>IF(Inputs!$F$64="Manual",IF(OR($B15="",Inputs!$B$65=0,Inputs!$F$65=""),"",$B15*(Inputs!$F$65/Inputs!$B$65)),IF(OR($B15="",$B15=0),"",$B15*(1+$B$4)^4))</f>
        <v>47.192359301537998</v>
      </c>
      <c r="K15" s="206">
        <f>IF(OR(J15="",J15=0,Inputs!$F$71=""),"",J15*Inputs!$F$71)</f>
        <v>824544.90171647188</v>
      </c>
      <c r="L15" s="206">
        <f t="shared" si="0"/>
        <v>3889459.4389322028</v>
      </c>
      <c r="M15" s="206">
        <f t="shared" si="1"/>
        <v>44.522200537227597</v>
      </c>
    </row>
    <row r="16" spans="1:15" ht="14.25" customHeight="1" x14ac:dyDescent="0.25">
      <c r="A16" s="204" t="s">
        <v>143</v>
      </c>
      <c r="B16" s="58"/>
      <c r="C16" s="58"/>
      <c r="D16" s="58"/>
      <c r="E16" s="58"/>
      <c r="F16" s="58"/>
      <c r="G16" s="58"/>
      <c r="H16" s="58"/>
      <c r="I16" s="58"/>
      <c r="J16" s="58"/>
      <c r="K16" s="58"/>
      <c r="L16" s="58"/>
      <c r="M16" s="58"/>
    </row>
    <row r="17" spans="1:13" ht="13.5" customHeight="1" x14ac:dyDescent="0.3">
      <c r="A17" s="205" t="str">
        <f>CFO_Bill_Rate_Breakdown!A15</f>
        <v>FICA / Medicare</v>
      </c>
      <c r="B17" s="206">
        <f>CFO_Bill_Rate_Breakdown!B15</f>
        <v>3.2076297</v>
      </c>
      <c r="C17" s="206">
        <f>CFO_Bill_Rate_Breakdown!C15</f>
        <v>56043.706118399998</v>
      </c>
      <c r="D17" s="206">
        <f>IF(Inputs!$C$64="Manual",IF(OR($B17="",Inputs!$B$65=0,Inputs!$C$65=""),"",$B17*(Inputs!$C$65/Inputs!$B$65)),IF(OR($B17="",$B17=0),"",$B17*(1+$B$4)^1))</f>
        <v>3.303858591</v>
      </c>
      <c r="E17" s="206">
        <f>IF(OR(D17="",D17=0,Inputs!$C$71=""),"",D17*Inputs!$C$71)</f>
        <v>57725.017301952001</v>
      </c>
      <c r="F17" s="206">
        <f>IF(Inputs!$D$64="Manual",IF(OR($B17="",Inputs!$B$65=0,Inputs!$D$65=""),"",$B17*(Inputs!$D$65/Inputs!$B$65)),IF(OR($B17="",$B17=0),"",$B17*(1+$B$4)^2))</f>
        <v>3.4029743487299999</v>
      </c>
      <c r="G17" s="206">
        <f>IF(OR(F17="",F17=0,Inputs!$D$71=""),"",F17*Inputs!$D$71)</f>
        <v>59456.767821010559</v>
      </c>
      <c r="H17" s="206">
        <f>IF(Inputs!$E$64="Manual",IF(OR($B17="",Inputs!$B$65=0,Inputs!$E$65=""),"",$B17*(Inputs!$E$65/Inputs!$B$65)),IF(OR($B17="",$B17=0),"",$B17*(1+$B$4)^3))</f>
        <v>3.5050635791919</v>
      </c>
      <c r="I17" s="206">
        <f>IF(OR(H17="",H17=0,Inputs!$E$71=""),"",H17*Inputs!$E$71)</f>
        <v>61240.47085564088</v>
      </c>
      <c r="J17" s="206">
        <f>IF(Inputs!$F$64="Manual",IF(OR($B17="",Inputs!$B$65=0,Inputs!$F$65=""),"",$B17*(Inputs!$F$65/Inputs!$B$65)),IF(OR($B17="",$B17=0),"",$B17*(1+$B$4)^4))</f>
        <v>3.6102154865676566</v>
      </c>
      <c r="K17" s="206">
        <f>IF(OR(J17="",J17=0,Inputs!$F$71=""),"",J17*Inputs!$F$71)</f>
        <v>63077.684981310093</v>
      </c>
      <c r="L17" s="206">
        <f t="shared" ref="L17:L26" si="2">SUM(C17,E17,G17,I17,K17)</f>
        <v>297543.64707831352</v>
      </c>
      <c r="M17" s="206">
        <f t="shared" ref="M17:M26" si="3">AVERAGE(B17,D17,F17,H17,J17)</f>
        <v>3.4059483410979112</v>
      </c>
    </row>
    <row r="18" spans="1:13" ht="13.5" customHeight="1" x14ac:dyDescent="0.3">
      <c r="A18" s="205" t="str">
        <f>CFO_Bill_Rate_Breakdown!A16</f>
        <v>FUTA</v>
      </c>
      <c r="B18" s="206">
        <f>CFO_Bill_Rate_Breakdown!B16</f>
        <v>0.25157879999999999</v>
      </c>
      <c r="C18" s="206">
        <f>CFO_Bill_Rate_Breakdown!C16</f>
        <v>4395.5847936</v>
      </c>
      <c r="D18" s="206">
        <f>IF(Inputs!$C$64="Manual",IF(OR($B18="",Inputs!$B$65=0,Inputs!$C$65=""),"",$B18*(Inputs!$C$65/Inputs!$B$65)),IF(OR($B18="",$B18=0),"",$B18*(1+$B$4)^1))</f>
        <v>0.25912616399999999</v>
      </c>
      <c r="E18" s="206">
        <f>IF(OR(D18="",D18=0,Inputs!$C$71=""),"",D18*Inputs!$C$71)</f>
        <v>4527.4523374079999</v>
      </c>
      <c r="F18" s="206">
        <f>IF(Inputs!$D$64="Manual",IF(OR($B18="",Inputs!$B$65=0,Inputs!$D$65=""),"",$B18*(Inputs!$D$65/Inputs!$B$65)),IF(OR($B18="",$B18=0),"",$B18*(1+$B$4)^2))</f>
        <v>0.26689994891999996</v>
      </c>
      <c r="G18" s="206">
        <f>IF(OR(F18="",F18=0,Inputs!$D$71=""),"",F18*Inputs!$D$71)</f>
        <v>4663.2759075302392</v>
      </c>
      <c r="H18" s="206">
        <f>IF(Inputs!$E$64="Manual",IF(OR($B18="",Inputs!$B$65=0,Inputs!$E$65=""),"",$B18*(Inputs!$E$65/Inputs!$B$65)),IF(OR($B18="",$B18=0),"",$B18*(1+$B$4)^3))</f>
        <v>0.27490694738759996</v>
      </c>
      <c r="I18" s="206">
        <f>IF(OR(H18="",H18=0,Inputs!$E$71=""),"",H18*Inputs!$E$71)</f>
        <v>4803.1741847561461</v>
      </c>
      <c r="J18" s="206">
        <f>IF(Inputs!$F$64="Manual",IF(OR($B18="",Inputs!$B$65=0,Inputs!$F$65=""),"",$B18*(Inputs!$F$65/Inputs!$B$65)),IF(OR($B18="",$B18=0),"",$B18*(1+$B$4)^4))</f>
        <v>0.28315415580922798</v>
      </c>
      <c r="K18" s="206">
        <f>IF(OR(J18="",J18=0,Inputs!$F$71=""),"",J18*Inputs!$F$71)</f>
        <v>4947.2694102988316</v>
      </c>
      <c r="L18" s="206">
        <f t="shared" si="2"/>
        <v>23336.756633593217</v>
      </c>
      <c r="M18" s="206">
        <f t="shared" si="3"/>
        <v>0.26713320322336565</v>
      </c>
    </row>
    <row r="19" spans="1:13" ht="13.5" customHeight="1" x14ac:dyDescent="0.3">
      <c r="A19" s="205" t="str">
        <f>CFO_Bill_Rate_Breakdown!A17</f>
        <v>SUTA</v>
      </c>
      <c r="B19" s="206">
        <f>CFO_Bill_Rate_Breakdown!B17</f>
        <v>0.83859600000000001</v>
      </c>
      <c r="C19" s="206">
        <f>CFO_Bill_Rate_Breakdown!C17</f>
        <v>14651.949312000001</v>
      </c>
      <c r="D19" s="206">
        <f>IF(Inputs!$C$64="Manual",IF(OR($B19="",Inputs!$B$65=0,Inputs!$C$65=""),"",$B19*(Inputs!$C$65/Inputs!$B$65)),IF(OR($B19="",$B19=0),"",$B19*(1+$B$4)^1))</f>
        <v>0.86375388000000008</v>
      </c>
      <c r="E19" s="206">
        <f>IF(OR(D19="",D19=0,Inputs!$C$71=""),"",D19*Inputs!$C$71)</f>
        <v>15091.507791360002</v>
      </c>
      <c r="F19" s="206">
        <f>IF(Inputs!$D$64="Manual",IF(OR($B19="",Inputs!$B$65=0,Inputs!$D$65=""),"",$B19*(Inputs!$D$65/Inputs!$B$65)),IF(OR($B19="",$B19=0),"",$B19*(1+$B$4)^2))</f>
        <v>0.88966649639999995</v>
      </c>
      <c r="G19" s="206">
        <f>IF(OR(F19="",F19=0,Inputs!$D$71=""),"",F19*Inputs!$D$71)</f>
        <v>15544.253025100799</v>
      </c>
      <c r="H19" s="206">
        <f>IF(Inputs!$E$64="Manual",IF(OR($B19="",Inputs!$B$65=0,Inputs!$E$65=""),"",$B19*(Inputs!$E$65/Inputs!$B$65)),IF(OR($B19="",$B19=0),"",$B19*(1+$B$4)^3))</f>
        <v>0.91635649129200003</v>
      </c>
      <c r="I19" s="206">
        <f>IF(OR(H19="",H19=0,Inputs!$E$71=""),"",H19*Inputs!$E$71)</f>
        <v>16010.580615853825</v>
      </c>
      <c r="J19" s="206">
        <f>IF(Inputs!$F$64="Manual",IF(OR($B19="",Inputs!$B$65=0,Inputs!$F$65=""),"",$B19*(Inputs!$F$65/Inputs!$B$65)),IF(OR($B19="",$B19=0),"",$B19*(1+$B$4)^4))</f>
        <v>0.9438471860307599</v>
      </c>
      <c r="K19" s="206">
        <f>IF(OR(J19="",J19=0,Inputs!$F$71=""),"",J19*Inputs!$F$71)</f>
        <v>16490.898034329435</v>
      </c>
      <c r="L19" s="206">
        <f t="shared" si="2"/>
        <v>77789.188778644064</v>
      </c>
      <c r="M19" s="206">
        <f t="shared" si="3"/>
        <v>0.89044401074455204</v>
      </c>
    </row>
    <row r="20" spans="1:13" ht="13.5" customHeight="1" x14ac:dyDescent="0.3">
      <c r="A20" s="205" t="str">
        <f>CFO_Bill_Rate_Breakdown!A18</f>
        <v>Workers Compensation</v>
      </c>
      <c r="B20" s="206">
        <f>CFO_Bill_Rate_Breakdown!B18</f>
        <v>0.67087680000000005</v>
      </c>
      <c r="C20" s="206">
        <f>CFO_Bill_Rate_Breakdown!C18</f>
        <v>11721.559449600001</v>
      </c>
      <c r="D20" s="206">
        <f>IF(Inputs!$C$64="Manual",IF(OR($B20="",Inputs!$B$65=0,Inputs!$C$65=""),"",$B20*(Inputs!$C$65/Inputs!$B$65)),IF(OR($B20="",$B20=0),"",$B20*(1+$B$4)^1))</f>
        <v>0.69100310400000009</v>
      </c>
      <c r="E20" s="206">
        <f>IF(OR(D20="",D20=0,Inputs!$C$71=""),"",D20*Inputs!$C$71)</f>
        <v>12073.206233088002</v>
      </c>
      <c r="F20" s="206">
        <f>IF(Inputs!$D$64="Manual",IF(OR($B20="",Inputs!$B$65=0,Inputs!$D$65=""),"",$B20*(Inputs!$D$65/Inputs!$B$65)),IF(OR($B20="",$B20=0),"",$B20*(1+$B$4)^2))</f>
        <v>0.71173319712000005</v>
      </c>
      <c r="G20" s="206">
        <f>IF(OR(F20="",F20=0,Inputs!$D$71=""),"",F20*Inputs!$D$71)</f>
        <v>12435.402420080642</v>
      </c>
      <c r="H20" s="206">
        <f>IF(Inputs!$E$64="Manual",IF(OR($B20="",Inputs!$B$65=0,Inputs!$E$65=""),"",$B20*(Inputs!$E$65/Inputs!$B$65)),IF(OR($B20="",$B20=0),"",$B20*(1+$B$4)^3))</f>
        <v>0.73308519303360009</v>
      </c>
      <c r="I20" s="206">
        <f>IF(OR(H20="",H20=0,Inputs!$E$71=""),"",H20*Inputs!$E$71)</f>
        <v>12808.464492683061</v>
      </c>
      <c r="J20" s="206">
        <f>IF(Inputs!$F$64="Manual",IF(OR($B20="",Inputs!$B$65=0,Inputs!$F$65=""),"",$B20*(Inputs!$F$65/Inputs!$B$65)),IF(OR($B20="",$B20=0),"",$B20*(1+$B$4)^4))</f>
        <v>0.75507774882460799</v>
      </c>
      <c r="K20" s="206">
        <f>IF(OR(J20="",J20=0,Inputs!$F$71=""),"",J20*Inputs!$F$71)</f>
        <v>13192.718427463551</v>
      </c>
      <c r="L20" s="206">
        <f t="shared" si="2"/>
        <v>62231.351022915253</v>
      </c>
      <c r="M20" s="206">
        <f t="shared" si="3"/>
        <v>0.71235520859564172</v>
      </c>
    </row>
    <row r="21" spans="1:13" ht="13.5" customHeight="1" x14ac:dyDescent="0.3">
      <c r="A21" s="205" t="str">
        <f>CFO_Bill_Rate_Breakdown!A19</f>
        <v>Health &amp; Welfare</v>
      </c>
      <c r="B21" s="206">
        <f>CFO_Bill_Rate_Breakdown!B19</f>
        <v>0</v>
      </c>
      <c r="C21" s="206">
        <f>CFO_Bill_Rate_Breakdown!C19</f>
        <v>0</v>
      </c>
      <c r="D21" s="206" t="str">
        <f>IF(Inputs!$C$64="Manual",IF(OR($B21="",Inputs!$B$65=0,Inputs!$C$65=""),"",$B21*(Inputs!$C$65/Inputs!$B$65)),IF(OR($B21="",$B21=0),"",$B21*(1+$B$4)^1))</f>
        <v/>
      </c>
      <c r="E21" s="206" t="str">
        <f>IF(OR(D21="",D21=0,Inputs!$C$71=""),"",D21*Inputs!$C$71)</f>
        <v/>
      </c>
      <c r="F21" s="206" t="str">
        <f>IF(Inputs!$D$64="Manual",IF(OR($B21="",Inputs!$B$65=0,Inputs!$D$65=""),"",$B21*(Inputs!$D$65/Inputs!$B$65)),IF(OR($B21="",$B21=0),"",$B21*(1+$B$4)^2))</f>
        <v/>
      </c>
      <c r="G21" s="206" t="str">
        <f>IF(OR(F21="",F21=0,Inputs!$D$71=""),"",F21*Inputs!$D$71)</f>
        <v/>
      </c>
      <c r="H21" s="206" t="str">
        <f>IF(Inputs!$E$64="Manual",IF(OR($B21="",Inputs!$B$65=0,Inputs!$E$65=""),"",$B21*(Inputs!$E$65/Inputs!$B$65)),IF(OR($B21="",$B21=0),"",$B21*(1+$B$4)^3))</f>
        <v/>
      </c>
      <c r="I21" s="206" t="str">
        <f>IF(OR(H21="",H21=0,Inputs!$E$71=""),"",H21*Inputs!$E$71)</f>
        <v/>
      </c>
      <c r="J21" s="206" t="str">
        <f>IF(Inputs!$F$64="Manual",IF(OR($B21="",Inputs!$B$65=0,Inputs!$F$65=""),"",$B21*(Inputs!$F$65/Inputs!$B$65)),IF(OR($B21="",$B21=0),"",$B21*(1+$B$4)^4))</f>
        <v/>
      </c>
      <c r="K21" s="206" t="str">
        <f>IF(OR(J21="",J21=0,Inputs!$F$71=""),"",J21*Inputs!$F$71)</f>
        <v/>
      </c>
      <c r="L21" s="206">
        <f t="shared" si="2"/>
        <v>0</v>
      </c>
      <c r="M21" s="206">
        <f t="shared" si="3"/>
        <v>0</v>
      </c>
    </row>
    <row r="22" spans="1:13" ht="13.5" customHeight="1" x14ac:dyDescent="0.3">
      <c r="A22" s="205" t="str">
        <f>CFO_Bill_Rate_Breakdown!A20</f>
        <v>Vacation</v>
      </c>
      <c r="B22" s="206">
        <f>CFO_Bill_Rate_Breakdown!B20</f>
        <v>0.83859600000000001</v>
      </c>
      <c r="C22" s="206">
        <f>CFO_Bill_Rate_Breakdown!C20</f>
        <v>14651.949312000001</v>
      </c>
      <c r="D22" s="206">
        <f>IF(Inputs!$C$64="Manual",IF(OR($B22="",Inputs!$B$65=0,Inputs!$C$65=""),"",$B22*(Inputs!$C$65/Inputs!$B$65)),IF(OR($B22="",$B22=0),"",$B22*(1+$B$4)^1))</f>
        <v>0.86375388000000008</v>
      </c>
      <c r="E22" s="206">
        <f>IF(OR(D22="",D22=0,Inputs!$C$71=""),"",D22*Inputs!$C$71)</f>
        <v>15091.507791360002</v>
      </c>
      <c r="F22" s="206">
        <f>IF(Inputs!$D$64="Manual",IF(OR($B22="",Inputs!$B$65=0,Inputs!$D$65=""),"",$B22*(Inputs!$D$65/Inputs!$B$65)),IF(OR($B22="",$B22=0),"",$B22*(1+$B$4)^2))</f>
        <v>0.88966649639999995</v>
      </c>
      <c r="G22" s="206">
        <f>IF(OR(F22="",F22=0,Inputs!$D$71=""),"",F22*Inputs!$D$71)</f>
        <v>15544.253025100799</v>
      </c>
      <c r="H22" s="206">
        <f>IF(Inputs!$E$64="Manual",IF(OR($B22="",Inputs!$B$65=0,Inputs!$E$65=""),"",$B22*(Inputs!$E$65/Inputs!$B$65)),IF(OR($B22="",$B22=0),"",$B22*(1+$B$4)^3))</f>
        <v>0.91635649129200003</v>
      </c>
      <c r="I22" s="206">
        <f>IF(OR(H22="",H22=0,Inputs!$E$71=""),"",H22*Inputs!$E$71)</f>
        <v>16010.580615853825</v>
      </c>
      <c r="J22" s="206">
        <f>IF(Inputs!$F$64="Manual",IF(OR($B22="",Inputs!$B$65=0,Inputs!$F$65=""),"",$B22*(Inputs!$F$65/Inputs!$B$65)),IF(OR($B22="",$B22=0),"",$B22*(1+$B$4)^4))</f>
        <v>0.9438471860307599</v>
      </c>
      <c r="K22" s="206">
        <f>IF(OR(J22="",J22=0,Inputs!$F$71=""),"",J22*Inputs!$F$71)</f>
        <v>16490.898034329435</v>
      </c>
      <c r="L22" s="206">
        <f t="shared" si="2"/>
        <v>77789.188778644064</v>
      </c>
      <c r="M22" s="206">
        <f t="shared" si="3"/>
        <v>0.89044401074455204</v>
      </c>
    </row>
    <row r="23" spans="1:13" ht="13.5" customHeight="1" x14ac:dyDescent="0.3">
      <c r="A23" s="205" t="str">
        <f>CFO_Bill_Rate_Breakdown!A21</f>
        <v>Paid Holidays</v>
      </c>
      <c r="B23" s="206">
        <f>CFO_Bill_Rate_Breakdown!B21</f>
        <v>1.677192</v>
      </c>
      <c r="C23" s="206">
        <f>CFO_Bill_Rate_Breakdown!C21</f>
        <v>29303.898624000001</v>
      </c>
      <c r="D23" s="206">
        <f>IF(Inputs!$C$64="Manual",IF(OR($B23="",Inputs!$B$65=0,Inputs!$C$65=""),"",$B23*(Inputs!$C$65/Inputs!$B$65)),IF(OR($B23="",$B23=0),"",$B23*(1+$B$4)^1))</f>
        <v>1.7275077600000002</v>
      </c>
      <c r="E23" s="206">
        <f>IF(OR(D23="",D23=0,Inputs!$C$71=""),"",D23*Inputs!$C$71)</f>
        <v>30183.015582720003</v>
      </c>
      <c r="F23" s="206">
        <f>IF(Inputs!$D$64="Manual",IF(OR($B23="",Inputs!$B$65=0,Inputs!$D$65=""),"",$B23*(Inputs!$D$65/Inputs!$B$65)),IF(OR($B23="",$B23=0),"",$B23*(1+$B$4)^2))</f>
        <v>1.7793329927999999</v>
      </c>
      <c r="G23" s="206">
        <f>IF(OR(F23="",F23=0,Inputs!$D$71=""),"",F23*Inputs!$D$71)</f>
        <v>31088.506050201599</v>
      </c>
      <c r="H23" s="206">
        <f>IF(Inputs!$E$64="Manual",IF(OR($B23="",Inputs!$B$65=0,Inputs!$E$65=""),"",$B23*(Inputs!$E$65/Inputs!$B$65)),IF(OR($B23="",$B23=0),"",$B23*(1+$B$4)^3))</f>
        <v>1.8327129825840001</v>
      </c>
      <c r="I23" s="206">
        <f>IF(OR(H23="",H23=0,Inputs!$E$71=""),"",H23*Inputs!$E$71)</f>
        <v>32021.161231707651</v>
      </c>
      <c r="J23" s="206">
        <f>IF(Inputs!$F$64="Manual",IF(OR($B23="",Inputs!$B$65=0,Inputs!$F$65=""),"",$B23*(Inputs!$F$65/Inputs!$B$65)),IF(OR($B23="",$B23=0),"",$B23*(1+$B$4)^4))</f>
        <v>1.8876943720615198</v>
      </c>
      <c r="K23" s="206">
        <f>IF(OR(J23="",J23=0,Inputs!$F$71=""),"",J23*Inputs!$F$71)</f>
        <v>32981.79606865887</v>
      </c>
      <c r="L23" s="206">
        <f t="shared" si="2"/>
        <v>155578.37755728813</v>
      </c>
      <c r="M23" s="206">
        <f t="shared" si="3"/>
        <v>1.7808880214891041</v>
      </c>
    </row>
    <row r="24" spans="1:13" ht="13.5" customHeight="1" x14ac:dyDescent="0.3">
      <c r="A24" s="205" t="str">
        <f>CFO_Bill_Rate_Breakdown!A22</f>
        <v>Sick Leave</v>
      </c>
      <c r="B24" s="206">
        <f>CFO_Bill_Rate_Breakdown!B22</f>
        <v>1.1321045999999999</v>
      </c>
      <c r="C24" s="206">
        <f>CFO_Bill_Rate_Breakdown!C22</f>
        <v>19780.1315712</v>
      </c>
      <c r="D24" s="206">
        <f>IF(Inputs!$C$64="Manual",IF(OR($B24="",Inputs!$B$65=0,Inputs!$C$65=""),"",$B24*(Inputs!$C$65/Inputs!$B$65)),IF(OR($B24="",$B24=0),"",$B24*(1+$B$4)^1))</f>
        <v>1.166067738</v>
      </c>
      <c r="E24" s="206">
        <f>IF(OR(D24="",D24=0,Inputs!$C$71=""),"",D24*Inputs!$C$71)</f>
        <v>20373.535518336001</v>
      </c>
      <c r="F24" s="206">
        <f>IF(Inputs!$D$64="Manual",IF(OR($B24="",Inputs!$B$65=0,Inputs!$D$65=""),"",$B24*(Inputs!$D$65/Inputs!$B$65)),IF(OR($B24="",$B24=0),"",$B24*(1+$B$4)^2))</f>
        <v>1.2010497701399998</v>
      </c>
      <c r="G24" s="206">
        <f>IF(OR(F24="",F24=0,Inputs!$D$71=""),"",F24*Inputs!$D$71)</f>
        <v>20984.741583886076</v>
      </c>
      <c r="H24" s="206">
        <f>IF(Inputs!$E$64="Manual",IF(OR($B24="",Inputs!$B$65=0,Inputs!$E$65=""),"",$B24*(Inputs!$E$65/Inputs!$B$65)),IF(OR($B24="",$B24=0),"",$B24*(1+$B$4)^3))</f>
        <v>1.2370812632441999</v>
      </c>
      <c r="I24" s="206">
        <f>IF(OR(H24="",H24=0,Inputs!$E$71=""),"",H24*Inputs!$E$71)</f>
        <v>21614.283831402659</v>
      </c>
      <c r="J24" s="206">
        <f>IF(Inputs!$F$64="Manual",IF(OR($B24="",Inputs!$B$65=0,Inputs!$F$65=""),"",$B24*(Inputs!$F$65/Inputs!$B$65)),IF(OR($B24="",$B24=0),"",$B24*(1+$B$4)^4))</f>
        <v>1.2741937011415259</v>
      </c>
      <c r="K24" s="206">
        <f>IF(OR(J24="",J24=0,Inputs!$F$71=""),"",J24*Inputs!$F$71)</f>
        <v>22262.712346344739</v>
      </c>
      <c r="L24" s="206">
        <f t="shared" si="2"/>
        <v>105015.40485116947</v>
      </c>
      <c r="M24" s="206">
        <f t="shared" si="3"/>
        <v>1.2020994145051449</v>
      </c>
    </row>
    <row r="25" spans="1:13" ht="13.5" customHeight="1" x14ac:dyDescent="0.3">
      <c r="A25" s="205" t="str">
        <f>CFO_Bill_Rate_Breakdown!A23</f>
        <v>Total Fringe / Burden</v>
      </c>
      <c r="B25" s="206">
        <f>CFO_Bill_Rate_Breakdown!B23</f>
        <v>8.6165738999999988</v>
      </c>
      <c r="C25" s="206">
        <f>CFO_Bill_Rate_Breakdown!C23</f>
        <v>150548.77918079999</v>
      </c>
      <c r="D25" s="206">
        <f>IF(Inputs!$C$64="Manual",IF(OR($B25="",Inputs!$B$65=0,Inputs!$C$65=""),"",$B25*(Inputs!$C$65/Inputs!$B$65)),IF(OR($B25="",$B25=0),"",$B25*(1+$B$4)^1))</f>
        <v>8.8750711169999992</v>
      </c>
      <c r="E25" s="206">
        <f>IF(OR(D25="",D25=0,Inputs!$C$71=""),"",D25*Inputs!$C$71)</f>
        <v>155065.242556224</v>
      </c>
      <c r="F25" s="206">
        <f>IF(Inputs!$D$64="Manual",IF(OR($B25="",Inputs!$B$65=0,Inputs!$D$65=""),"",$B25*(Inputs!$D$65/Inputs!$B$65)),IF(OR($B25="",$B25=0),"",$B25*(1+$B$4)^2))</f>
        <v>9.1413232505099984</v>
      </c>
      <c r="G25" s="206">
        <f>IF(OR(F25="",F25=0,Inputs!$D$71=""),"",F25*Inputs!$D$71)</f>
        <v>159717.1998329107</v>
      </c>
      <c r="H25" s="206">
        <f>IF(Inputs!$E$64="Manual",IF(OR($B25="",Inputs!$B$65=0,Inputs!$E$65=""),"",$B25*(Inputs!$E$65/Inputs!$B$65)),IF(OR($B25="",$B25=0),"",$B25*(1+$B$4)^3))</f>
        <v>9.4155629480252987</v>
      </c>
      <c r="I25" s="206">
        <f>IF(OR(H25="",H25=0,Inputs!$E$71=""),"",H25*Inputs!$E$71)</f>
        <v>164508.71582789801</v>
      </c>
      <c r="J25" s="206">
        <f>IF(Inputs!$F$64="Manual",IF(OR($B25="",Inputs!$B$65=0,Inputs!$F$65=""),"",$B25*(Inputs!$F$65/Inputs!$B$65)),IF(OR($B25="",$B25=0),"",$B25*(1+$B$4)^4))</f>
        <v>9.6980298364660573</v>
      </c>
      <c r="K25" s="206">
        <f>IF(OR(J25="",J25=0,Inputs!$F$71=""),"",J25*Inputs!$F$71)</f>
        <v>169443.97730273494</v>
      </c>
      <c r="L25" s="206">
        <f t="shared" si="2"/>
        <v>799283.91470056761</v>
      </c>
      <c r="M25" s="206">
        <f t="shared" si="3"/>
        <v>9.1493122104002698</v>
      </c>
    </row>
    <row r="26" spans="1:13" ht="13.5" customHeight="1" x14ac:dyDescent="0.3">
      <c r="A26" s="207" t="str">
        <f>CFO_Bill_Rate_Breakdown!A24</f>
        <v>Total Direct Labor + Fringe</v>
      </c>
      <c r="B26" s="208">
        <f>CFO_Bill_Rate_Breakdown!B24</f>
        <v>50.546373899999999</v>
      </c>
      <c r="C26" s="206">
        <f>CFO_Bill_Rate_Breakdown!C24</f>
        <v>883146.24478079996</v>
      </c>
      <c r="D26" s="206">
        <f>IF(Inputs!$C$64="Manual",IF(OR($B26="",Inputs!$B$65=0,Inputs!$C$65=""),"",$B26*(Inputs!$C$65/Inputs!$B$65)),IF(OR($B26="",$B26=0),"",$B26*(1+$B$4)^1))</f>
        <v>52.062765116999998</v>
      </c>
      <c r="E26" s="206">
        <f>IF(OR(D26="",D26=0,Inputs!$C$71=""),"",D26*Inputs!$C$71)</f>
        <v>909640.63212422398</v>
      </c>
      <c r="F26" s="206">
        <f>IF(Inputs!$D$64="Manual",IF(OR($B26="",Inputs!$B$65=0,Inputs!$D$65=""),"",$B26*(Inputs!$D$65/Inputs!$B$65)),IF(OR($B26="",$B26=0),"",$B26*(1+$B$4)^2))</f>
        <v>53.624648070509998</v>
      </c>
      <c r="G26" s="206">
        <f>IF(OR(F26="",F26=0,Inputs!$D$71=""),"",F26*Inputs!$D$71)</f>
        <v>936929.85108795064</v>
      </c>
      <c r="H26" s="206">
        <f>IF(Inputs!$E$64="Manual",IF(OR($B26="",Inputs!$B$65=0,Inputs!$E$65=""),"",$B26*(Inputs!$E$65/Inputs!$B$65)),IF(OR($B26="",$B26=0),"",$B26*(1+$B$4)^3))</f>
        <v>55.233387512625299</v>
      </c>
      <c r="I26" s="206">
        <f>IF(OR(H26="",H26=0,Inputs!$E$71=""),"",H26*Inputs!$E$71)</f>
        <v>965037.74662058917</v>
      </c>
      <c r="J26" s="206">
        <f>IF(Inputs!$F$64="Manual",IF(OR($B26="",Inputs!$B$65=0,Inputs!$F$65=""),"",$B26*(Inputs!$F$65/Inputs!$B$65)),IF(OR($B26="",$B26=0),"",$B26*(1+$B$4)^4))</f>
        <v>56.890389138004053</v>
      </c>
      <c r="K26" s="206">
        <f>IF(OR(J26="",J26=0,Inputs!$F$71=""),"",J26*Inputs!$F$71)</f>
        <v>993988.87901920686</v>
      </c>
      <c r="L26" s="206">
        <f t="shared" si="2"/>
        <v>4688743.3536327705</v>
      </c>
      <c r="M26" s="206">
        <f t="shared" si="3"/>
        <v>53.671512747627865</v>
      </c>
    </row>
    <row r="27" spans="1:13" ht="14.25" customHeight="1" x14ac:dyDescent="0.25">
      <c r="A27" s="204" t="s">
        <v>154</v>
      </c>
      <c r="B27" s="58"/>
      <c r="C27" s="58"/>
      <c r="D27" s="58"/>
      <c r="E27" s="58"/>
      <c r="F27" s="58"/>
      <c r="G27" s="58"/>
      <c r="H27" s="58"/>
      <c r="I27" s="58"/>
      <c r="J27" s="58"/>
      <c r="K27" s="58"/>
      <c r="L27" s="58">
        <f>IFERROR(SUM(C27:G27),0)</f>
        <v>0</v>
      </c>
      <c r="M27" s="58">
        <f>IFERROR(L27/H27,0)</f>
        <v>0</v>
      </c>
    </row>
    <row r="28" spans="1:13" ht="13.5" customHeight="1" x14ac:dyDescent="0.3">
      <c r="A28" s="205" t="str">
        <f>CFO_Bill_Rate_Breakdown!A27</f>
        <v>Recruiting / Hiring</v>
      </c>
      <c r="B28" s="206">
        <f>CFO_Bill_Rate_Breakdown!B27</f>
        <v>0</v>
      </c>
      <c r="C28" s="206">
        <f>CFO_Bill_Rate_Breakdown!C27</f>
        <v>0</v>
      </c>
      <c r="D28" s="206" t="str">
        <f>IF(Inputs!$C$64="Manual",IF(OR($B28="",Inputs!$B$65=0,Inputs!$C$65=""),"",$B28*(Inputs!$C$65/Inputs!$B$65)),IF(OR($B28="",$B28=0),"",$B28*(1+$B$4)^1))</f>
        <v/>
      </c>
      <c r="E28" s="206" t="str">
        <f>IF(OR(D28="",D28=0,Inputs!$C$71=""),"",D28*Inputs!$C$71)</f>
        <v/>
      </c>
      <c r="F28" s="206" t="str">
        <f>IF(Inputs!$D$64="Manual",IF(OR($B28="",Inputs!$B$65=0,Inputs!$D$65=""),"",$B28*(Inputs!$D$65/Inputs!$B$65)),IF(OR($B28="",$B28=0),"",$B28*(1+$B$4)^2))</f>
        <v/>
      </c>
      <c r="G28" s="206" t="str">
        <f>IF(OR(F28="",F28=0,Inputs!$D$71=""),"",F28*Inputs!$D$71)</f>
        <v/>
      </c>
      <c r="H28" s="206" t="str">
        <f>IF(Inputs!$E$64="Manual",IF(OR($B28="",Inputs!$B$65=0,Inputs!$E$65=""),"",$B28*(Inputs!$E$65/Inputs!$B$65)),IF(OR($B28="",$B28=0),"",$B28*(1+$B$4)^3))</f>
        <v/>
      </c>
      <c r="I28" s="206" t="str">
        <f>IF(OR(H28="",H28=0,Inputs!$E$71=""),"",H28*Inputs!$E$71)</f>
        <v/>
      </c>
      <c r="J28" s="206" t="str">
        <f>IF(Inputs!$F$64="Manual",IF(OR($B28="",Inputs!$B$65=0,Inputs!$F$65=""),"",$B28*(Inputs!$F$65/Inputs!$B$65)),IF(OR($B28="",$B28=0),"",$B28*(1+$B$4)^4))</f>
        <v/>
      </c>
      <c r="K28" s="206" t="str">
        <f>IF(OR(J28="",J28=0,Inputs!$F$71=""),"",J28*Inputs!$F$71)</f>
        <v/>
      </c>
      <c r="L28" s="206">
        <f t="shared" ref="L28:L38" si="4">SUM(C28,E28,G28,I28,K28)</f>
        <v>0</v>
      </c>
      <c r="M28" s="206">
        <f t="shared" ref="M28:M38" si="5">AVERAGE(B28,D28,F28,H28,J28)</f>
        <v>0</v>
      </c>
    </row>
    <row r="29" spans="1:13" ht="13.5" customHeight="1" x14ac:dyDescent="0.3">
      <c r="A29" s="205" t="str">
        <f>CFO_Bill_Rate_Breakdown!A28</f>
        <v>Training / Certification</v>
      </c>
      <c r="B29" s="206">
        <f>CFO_Bill_Rate_Breakdown!B28</f>
        <v>0.62894700000000003</v>
      </c>
      <c r="C29" s="206">
        <f>CFO_Bill_Rate_Breakdown!C28</f>
        <v>10988.961984000001</v>
      </c>
      <c r="D29" s="206">
        <f>IF(Inputs!$C$64="Manual",IF(OR($B29="",Inputs!$B$65=0,Inputs!$C$65=""),"",$B29*(Inputs!$C$65/Inputs!$B$65)),IF(OR($B29="",$B29=0),"",$B29*(1+$B$4)^1))</f>
        <v>0.64781541000000009</v>
      </c>
      <c r="E29" s="206">
        <f>IF(OR(D29="",D29=0,Inputs!$C$71=""),"",D29*Inputs!$C$71)</f>
        <v>11318.630843520001</v>
      </c>
      <c r="F29" s="206">
        <f>IF(Inputs!$D$64="Manual",IF(OR($B29="",Inputs!$B$65=0,Inputs!$D$65=""),"",$B29*(Inputs!$D$65/Inputs!$B$65)),IF(OR($B29="",$B29=0),"",$B29*(1+$B$4)^2))</f>
        <v>0.66724987229999999</v>
      </c>
      <c r="G29" s="206">
        <f>IF(OR(F29="",F29=0,Inputs!$D$71=""),"",F29*Inputs!$D$71)</f>
        <v>11658.189768825599</v>
      </c>
      <c r="H29" s="206">
        <f>IF(Inputs!$E$64="Manual",IF(OR($B29="",Inputs!$B$65=0,Inputs!$E$65=""),"",$B29*(Inputs!$E$65/Inputs!$B$65)),IF(OR($B29="",$B29=0),"",$B29*(1+$B$4)^3))</f>
        <v>0.68726736846900005</v>
      </c>
      <c r="I29" s="206">
        <f>IF(OR(H29="",H29=0,Inputs!$E$71=""),"",H29*Inputs!$E$71)</f>
        <v>12007.935461890369</v>
      </c>
      <c r="J29" s="206">
        <f>IF(Inputs!$F$64="Manual",IF(OR($B29="",Inputs!$B$65=0,Inputs!$F$65=""),"",$B29*(Inputs!$F$65/Inputs!$B$65)),IF(OR($B29="",$B29=0),"",$B29*(1+$B$4)^4))</f>
        <v>0.70788538952307001</v>
      </c>
      <c r="K29" s="206">
        <f>IF(OR(J29="",J29=0,Inputs!$F$71=""),"",J29*Inputs!$F$71)</f>
        <v>12368.173525747079</v>
      </c>
      <c r="L29" s="206">
        <f t="shared" si="4"/>
        <v>58341.891583983044</v>
      </c>
      <c r="M29" s="206">
        <f t="shared" si="5"/>
        <v>0.66783300805841406</v>
      </c>
    </row>
    <row r="30" spans="1:13" ht="13.5" customHeight="1" x14ac:dyDescent="0.3">
      <c r="A30" s="205" t="str">
        <f>CFO_Bill_Rate_Breakdown!A29</f>
        <v>Uniforms / Equipment</v>
      </c>
      <c r="B30" s="206">
        <f>CFO_Bill_Rate_Breakdown!B29</f>
        <v>1.1071394230769229</v>
      </c>
      <c r="C30" s="206">
        <f>CFO_Bill_Rate_Breakdown!C29</f>
        <v>19343.939999999999</v>
      </c>
      <c r="D30" s="206">
        <f>IF(Inputs!$C$64="Manual",IF(OR($B30="",Inputs!$B$65=0,Inputs!$C$65=""),"",$B30*(Inputs!$C$65/Inputs!$B$65)),IF(OR($B30="",$B30=0),"",$B30*(1+$B$4)^1))</f>
        <v>1.1403536057692307</v>
      </c>
      <c r="E30" s="206">
        <f>IF(OR(D30="",D30=0,Inputs!$C$71=""),"",D30*Inputs!$C$71)</f>
        <v>19924.2582</v>
      </c>
      <c r="F30" s="206">
        <f>IF(Inputs!$D$64="Manual",IF(OR($B30="",Inputs!$B$65=0,Inputs!$D$65=""),"",$B30*(Inputs!$D$65/Inputs!$B$65)),IF(OR($B30="",$B30=0),"",$B30*(1+$B$4)^2))</f>
        <v>1.1745642139423076</v>
      </c>
      <c r="G30" s="206">
        <f>IF(OR(F30="",F30=0,Inputs!$D$71=""),"",F30*Inputs!$D$71)</f>
        <v>20521.985945999997</v>
      </c>
      <c r="H30" s="206">
        <f>IF(Inputs!$E$64="Manual",IF(OR($B30="",Inputs!$B$65=0,Inputs!$E$65=""),"",$B30*(Inputs!$E$65/Inputs!$B$65)),IF(OR($B30="",$B30=0),"",$B30*(1+$B$4)^3))</f>
        <v>1.2098011403605768</v>
      </c>
      <c r="I30" s="206">
        <f>IF(OR(H30="",H30=0,Inputs!$E$71=""),"",H30*Inputs!$E$71)</f>
        <v>21137.645524379997</v>
      </c>
      <c r="J30" s="206">
        <f>IF(Inputs!$F$64="Manual",IF(OR($B30="",Inputs!$B$65=0,Inputs!$F$65=""),"",$B30*(Inputs!$F$65/Inputs!$B$65)),IF(OR($B30="",$B30=0),"",$B30*(1+$B$4)^4))</f>
        <v>1.246095174571394</v>
      </c>
      <c r="K30" s="206">
        <f>IF(OR(J30="",J30=0,Inputs!$F$71=""),"",J30*Inputs!$F$71)</f>
        <v>21771.774890111396</v>
      </c>
      <c r="L30" s="206">
        <f t="shared" si="4"/>
        <v>102699.6045604914</v>
      </c>
      <c r="M30" s="206">
        <f t="shared" si="5"/>
        <v>1.1755907115440865</v>
      </c>
    </row>
    <row r="31" spans="1:13" ht="13.5" customHeight="1" x14ac:dyDescent="0.3">
      <c r="A31" s="205" t="str">
        <f>CFO_Bill_Rate_Breakdown!A30</f>
        <v>Field Supervision</v>
      </c>
      <c r="B31" s="206">
        <f>CFO_Bill_Rate_Breakdown!B30</f>
        <v>0</v>
      </c>
      <c r="C31" s="206">
        <f>CFO_Bill_Rate_Breakdown!C30</f>
        <v>0</v>
      </c>
      <c r="D31" s="206" t="str">
        <f>IF(Inputs!$C$64="Manual",IF(OR($B31="",Inputs!$B$65=0,Inputs!$C$65=""),"",$B31*(Inputs!$C$65/Inputs!$B$65)),IF(OR($B31="",$B31=0),"",$B31*(1+$B$4)^1))</f>
        <v/>
      </c>
      <c r="E31" s="206" t="str">
        <f>IF(OR(D31="",D31=0,Inputs!$C$71=""),"",D31*Inputs!$C$71)</f>
        <v/>
      </c>
      <c r="F31" s="206" t="str">
        <f>IF(Inputs!$D$64="Manual",IF(OR($B31="",Inputs!$B$65=0,Inputs!$D$65=""),"",$B31*(Inputs!$D$65/Inputs!$B$65)),IF(OR($B31="",$B31=0),"",$B31*(1+$B$4)^2))</f>
        <v/>
      </c>
      <c r="G31" s="206" t="str">
        <f>IF(OR(F31="",F31=0,Inputs!$D$71=""),"",F31*Inputs!$D$71)</f>
        <v/>
      </c>
      <c r="H31" s="206" t="str">
        <f>IF(Inputs!$E$64="Manual",IF(OR($B31="",Inputs!$B$65=0,Inputs!$E$65=""),"",$B31*(Inputs!$E$65/Inputs!$B$65)),IF(OR($B31="",$B31=0),"",$B31*(1+$B$4)^3))</f>
        <v/>
      </c>
      <c r="I31" s="206" t="str">
        <f>IF(OR(H31="",H31=0,Inputs!$E$71=""),"",H31*Inputs!$E$71)</f>
        <v/>
      </c>
      <c r="J31" s="206" t="str">
        <f>IF(Inputs!$F$64="Manual",IF(OR($B31="",Inputs!$B$65=0,Inputs!$F$65=""),"",$B31*(Inputs!$F$65/Inputs!$B$65)),IF(OR($B31="",$B31=0),"",$B31*(1+$B$4)^4))</f>
        <v/>
      </c>
      <c r="K31" s="206" t="str">
        <f>IF(OR(J31="",J31=0,Inputs!$F$71=""),"",J31*Inputs!$F$71)</f>
        <v/>
      </c>
      <c r="L31" s="206">
        <f t="shared" si="4"/>
        <v>0</v>
      </c>
      <c r="M31" s="206">
        <f t="shared" si="5"/>
        <v>0</v>
      </c>
    </row>
    <row r="32" spans="1:13" ht="13.5" customHeight="1" x14ac:dyDescent="0.3">
      <c r="A32" s="205" t="str">
        <f>CFO_Bill_Rate_Breakdown!A31</f>
        <v>Contract Management</v>
      </c>
      <c r="B32" s="206">
        <f>CFO_Bill_Rate_Breakdown!B31</f>
        <v>0</v>
      </c>
      <c r="C32" s="206">
        <f>CFO_Bill_Rate_Breakdown!C31</f>
        <v>0</v>
      </c>
      <c r="D32" s="206" t="str">
        <f>IF(Inputs!$C$64="Manual",IF(OR($B32="",Inputs!$B$65=0,Inputs!$C$65=""),"",$B32*(Inputs!$C$65/Inputs!$B$65)),IF(OR($B32="",$B32=0),"",$B32*(1+$B$4)^1))</f>
        <v/>
      </c>
      <c r="E32" s="206" t="str">
        <f>IF(OR(D32="",D32=0,Inputs!$C$71=""),"",D32*Inputs!$C$71)</f>
        <v/>
      </c>
      <c r="F32" s="206" t="str">
        <f>IF(Inputs!$D$64="Manual",IF(OR($B32="",Inputs!$B$65=0,Inputs!$D$65=""),"",$B32*(Inputs!$D$65/Inputs!$B$65)),IF(OR($B32="",$B32=0),"",$B32*(1+$B$4)^2))</f>
        <v/>
      </c>
      <c r="G32" s="206" t="str">
        <f>IF(OR(F32="",F32=0,Inputs!$D$71=""),"",F32*Inputs!$D$71)</f>
        <v/>
      </c>
      <c r="H32" s="206" t="str">
        <f>IF(Inputs!$E$64="Manual",IF(OR($B32="",Inputs!$B$65=0,Inputs!$E$65=""),"",$B32*(Inputs!$E$65/Inputs!$B$65)),IF(OR($B32="",$B32=0),"",$B32*(1+$B$4)^3))</f>
        <v/>
      </c>
      <c r="I32" s="206" t="str">
        <f>IF(OR(H32="",H32=0,Inputs!$E$71=""),"",H32*Inputs!$E$71)</f>
        <v/>
      </c>
      <c r="J32" s="206" t="str">
        <f>IF(Inputs!$F$64="Manual",IF(OR($B32="",Inputs!$B$65=0,Inputs!$F$65=""),"",$B32*(Inputs!$F$65/Inputs!$B$65)),IF(OR($B32="",$B32=0),"",$B32*(1+$B$4)^4))</f>
        <v/>
      </c>
      <c r="K32" s="206" t="str">
        <f>IF(OR(J32="",J32=0,Inputs!$F$71=""),"",J32*Inputs!$F$71)</f>
        <v/>
      </c>
      <c r="L32" s="206">
        <f t="shared" si="4"/>
        <v>0</v>
      </c>
      <c r="M32" s="206">
        <f t="shared" si="5"/>
        <v>0</v>
      </c>
    </row>
    <row r="33" spans="1:13" ht="13.5" customHeight="1" x14ac:dyDescent="0.3">
      <c r="A33" s="205" t="str">
        <f>CFO_Bill_Rate_Breakdown!A32</f>
        <v>Quality Assurance</v>
      </c>
      <c r="B33" s="206">
        <f>CFO_Bill_Rate_Breakdown!B32</f>
        <v>0</v>
      </c>
      <c r="C33" s="206">
        <f>CFO_Bill_Rate_Breakdown!C32</f>
        <v>0</v>
      </c>
      <c r="D33" s="206" t="str">
        <f>IF(Inputs!$C$64="Manual",IF(OR($B33="",Inputs!$B$65=0,Inputs!$C$65=""),"",$B33*(Inputs!$C$65/Inputs!$B$65)),IF(OR($B33="",$B33=0),"",$B33*(1+$B$4)^1))</f>
        <v/>
      </c>
      <c r="E33" s="206" t="str">
        <f>IF(OR(D33="",D33=0,Inputs!$C$71=""),"",D33*Inputs!$C$71)</f>
        <v/>
      </c>
      <c r="F33" s="206" t="str">
        <f>IF(Inputs!$D$64="Manual",IF(OR($B33="",Inputs!$B$65=0,Inputs!$D$65=""),"",$B33*(Inputs!$D$65/Inputs!$B$65)),IF(OR($B33="",$B33=0),"",$B33*(1+$B$4)^2))</f>
        <v/>
      </c>
      <c r="G33" s="206" t="str">
        <f>IF(OR(F33="",F33=0,Inputs!$D$71=""),"",F33*Inputs!$D$71)</f>
        <v/>
      </c>
      <c r="H33" s="206" t="str">
        <f>IF(Inputs!$E$64="Manual",IF(OR($B33="",Inputs!$B$65=0,Inputs!$E$65=""),"",$B33*(Inputs!$E$65/Inputs!$B$65)),IF(OR($B33="",$B33=0),"",$B33*(1+$B$4)^3))</f>
        <v/>
      </c>
      <c r="I33" s="206" t="str">
        <f>IF(OR(H33="",H33=0,Inputs!$E$71=""),"",H33*Inputs!$E$71)</f>
        <v/>
      </c>
      <c r="J33" s="206" t="str">
        <f>IF(Inputs!$F$64="Manual",IF(OR($B33="",Inputs!$B$65=0,Inputs!$F$65=""),"",$B33*(Inputs!$F$65/Inputs!$B$65)),IF(OR($B33="",$B33=0),"",$B33*(1+$B$4)^4))</f>
        <v/>
      </c>
      <c r="K33" s="206" t="str">
        <f>IF(OR(J33="",J33=0,Inputs!$F$71=""),"",J33*Inputs!$F$71)</f>
        <v/>
      </c>
      <c r="L33" s="206">
        <f t="shared" si="4"/>
        <v>0</v>
      </c>
      <c r="M33" s="206">
        <f t="shared" si="5"/>
        <v>0</v>
      </c>
    </row>
    <row r="34" spans="1:13" ht="13.5" customHeight="1" x14ac:dyDescent="0.3">
      <c r="A34" s="205" t="str">
        <f>CFO_Bill_Rate_Breakdown!A33</f>
        <v>Vehicles / Patrol</v>
      </c>
      <c r="B34" s="206">
        <f>CFO_Bill_Rate_Breakdown!B33</f>
        <v>3.5046453546453544</v>
      </c>
      <c r="C34" s="206">
        <f>CFO_Bill_Rate_Breakdown!C33</f>
        <v>61233.163636363635</v>
      </c>
      <c r="D34" s="206">
        <f>IF(Inputs!$C$64="Manual",IF(OR($B34="",Inputs!$B$65=0,Inputs!$C$65=""),"",$B34*(Inputs!$C$65/Inputs!$B$65)),IF(OR($B34="",$B34=0),"",$B34*(1+$B$4)^1))</f>
        <v>3.6097847152847153</v>
      </c>
      <c r="E34" s="206">
        <f>IF(OR(D34="",D34=0,Inputs!$C$71=""),"",D34*Inputs!$C$71)</f>
        <v>63070.158545454549</v>
      </c>
      <c r="F34" s="206">
        <f>IF(Inputs!$D$64="Manual",IF(OR($B34="",Inputs!$B$65=0,Inputs!$D$65=""),"",$B34*(Inputs!$D$65/Inputs!$B$65)),IF(OR($B34="",$B34=0),"",$B34*(1+$B$4)^2))</f>
        <v>3.7180782567432562</v>
      </c>
      <c r="G34" s="206">
        <f>IF(OR(F34="",F34=0,Inputs!$D$71=""),"",F34*Inputs!$D$71)</f>
        <v>64962.263301818173</v>
      </c>
      <c r="H34" s="206">
        <f>IF(Inputs!$E$64="Manual",IF(OR($B34="",Inputs!$B$65=0,Inputs!$E$65=""),"",$B34*(Inputs!$E$65/Inputs!$B$65)),IF(OR($B34="",$B34=0),"",$B34*(1+$B$4)^3))</f>
        <v>3.8296206044455543</v>
      </c>
      <c r="I34" s="206">
        <f>IF(OR(H34="",H34=0,Inputs!$E$71=""),"",H34*Inputs!$E$71)</f>
        <v>66911.131200872725</v>
      </c>
      <c r="J34" s="206">
        <f>IF(Inputs!$F$64="Manual",IF(OR($B34="",Inputs!$B$65=0,Inputs!$F$65=""),"",$B34*(Inputs!$F$65/Inputs!$B$65)),IF(OR($B34="",$B34=0),"",$B34*(1+$B$4)^4))</f>
        <v>3.9445092225789207</v>
      </c>
      <c r="K34" s="206">
        <f>IF(OR(J34="",J34=0,Inputs!$F$71=""),"",J34*Inputs!$F$71)</f>
        <v>68918.4651368989</v>
      </c>
      <c r="L34" s="206">
        <f t="shared" si="4"/>
        <v>325095.18182140798</v>
      </c>
      <c r="M34" s="206">
        <f t="shared" si="5"/>
        <v>3.7213276307395602</v>
      </c>
    </row>
    <row r="35" spans="1:13" ht="13.5" customHeight="1" x14ac:dyDescent="0.3">
      <c r="A35" s="205" t="str">
        <f>CFO_Bill_Rate_Breakdown!A34</f>
        <v>Technology / Systems</v>
      </c>
      <c r="B35" s="206">
        <f>CFO_Bill_Rate_Breakdown!B34</f>
        <v>0.419298</v>
      </c>
      <c r="C35" s="206">
        <f>CFO_Bill_Rate_Breakdown!C34</f>
        <v>7325.9746560000003</v>
      </c>
      <c r="D35" s="206">
        <f>IF(Inputs!$C$64="Manual",IF(OR($B35="",Inputs!$B$65=0,Inputs!$C$65=""),"",$B35*(Inputs!$C$65/Inputs!$B$65)),IF(OR($B35="",$B35=0),"",$B35*(1+$B$4)^1))</f>
        <v>0.43187694000000004</v>
      </c>
      <c r="E35" s="206">
        <f>IF(OR(D35="",D35=0,Inputs!$C$71=""),"",D35*Inputs!$C$71)</f>
        <v>7545.7538956800008</v>
      </c>
      <c r="F35" s="206">
        <f>IF(Inputs!$D$64="Manual",IF(OR($B35="",Inputs!$B$65=0,Inputs!$D$65=""),"",$B35*(Inputs!$D$65/Inputs!$B$65)),IF(OR($B35="",$B35=0),"",$B35*(1+$B$4)^2))</f>
        <v>0.44483324819999998</v>
      </c>
      <c r="G35" s="206">
        <f>IF(OR(F35="",F35=0,Inputs!$D$71=""),"",F35*Inputs!$D$71)</f>
        <v>7772.1265125503996</v>
      </c>
      <c r="H35" s="206">
        <f>IF(Inputs!$E$64="Manual",IF(OR($B35="",Inputs!$B$65=0,Inputs!$E$65=""),"",$B35*(Inputs!$E$65/Inputs!$B$65)),IF(OR($B35="",$B35=0),"",$B35*(1+$B$4)^3))</f>
        <v>0.45817824564600002</v>
      </c>
      <c r="I35" s="206">
        <f>IF(OR(H35="",H35=0,Inputs!$E$71=""),"",H35*Inputs!$E$71)</f>
        <v>8005.2903079269126</v>
      </c>
      <c r="J35" s="206">
        <f>IF(Inputs!$F$64="Manual",IF(OR($B35="",Inputs!$B$65=0,Inputs!$F$65=""),"",$B35*(Inputs!$F$65/Inputs!$B$65)),IF(OR($B35="",$B35=0),"",$B35*(1+$B$4)^4))</f>
        <v>0.47192359301537995</v>
      </c>
      <c r="K35" s="206">
        <f>IF(OR(J35="",J35=0,Inputs!$F$71=""),"",J35*Inputs!$F$71)</f>
        <v>8245.4490171647176</v>
      </c>
      <c r="L35" s="206">
        <f t="shared" si="4"/>
        <v>38894.594389322032</v>
      </c>
      <c r="M35" s="206">
        <f t="shared" si="5"/>
        <v>0.44522200537227602</v>
      </c>
    </row>
    <row r="36" spans="1:13" ht="13.5" customHeight="1" x14ac:dyDescent="0.3">
      <c r="A36" s="205" t="str">
        <f>CFO_Bill_Rate_Breakdown!A35</f>
        <v>General Liability Insurance</v>
      </c>
      <c r="B36" s="206">
        <f>CFO_Bill_Rate_Breakdown!B35</f>
        <v>3.7401381599999999</v>
      </c>
      <c r="C36" s="206">
        <f>CFO_Bill_Rate_Breakdown!C35</f>
        <v>65347.69393152</v>
      </c>
      <c r="D36" s="206">
        <f>IF(Inputs!$C$64="Manual",IF(OR($B36="",Inputs!$B$65=0,Inputs!$C$65=""),"",$B36*(Inputs!$C$65/Inputs!$B$65)),IF(OR($B36="",$B36=0),"",$B36*(1+$B$4)^1))</f>
        <v>3.8523423048000001</v>
      </c>
      <c r="E36" s="206">
        <f>IF(OR(D36="",D36=0,Inputs!$C$71=""),"",D36*Inputs!$C$71)</f>
        <v>67308.124749465598</v>
      </c>
      <c r="F36" s="206">
        <f>IF(Inputs!$D$64="Manual",IF(OR($B36="",Inputs!$B$65=0,Inputs!$D$65=""),"",$B36*(Inputs!$D$65/Inputs!$B$65)),IF(OR($B36="",$B36=0),"",$B36*(1+$B$4)^2))</f>
        <v>3.9679125739439995</v>
      </c>
      <c r="G36" s="206">
        <f>IF(OR(F36="",F36=0,Inputs!$D$71=""),"",F36*Inputs!$D$71)</f>
        <v>69327.368491949557</v>
      </c>
      <c r="H36" s="206">
        <f>IF(Inputs!$E$64="Manual",IF(OR($B36="",Inputs!$B$65=0,Inputs!$E$65=""),"",$B36*(Inputs!$E$65/Inputs!$B$65)),IF(OR($B36="",$B36=0),"",$B36*(1+$B$4)^3))</f>
        <v>4.0869499511623202</v>
      </c>
      <c r="I36" s="206">
        <f>IF(OR(H36="",H36=0,Inputs!$E$71=""),"",H36*Inputs!$E$71)</f>
        <v>71407.189546708061</v>
      </c>
      <c r="J36" s="206">
        <f>IF(Inputs!$F$64="Manual",IF(OR($B36="",Inputs!$B$65=0,Inputs!$F$65=""),"",$B36*(Inputs!$F$65/Inputs!$B$65)),IF(OR($B36="",$B36=0),"",$B36*(1+$B$4)^4))</f>
        <v>4.2095584496971892</v>
      </c>
      <c r="K36" s="206">
        <f>IF(OR(J36="",J36=0,Inputs!$F$71=""),"",J36*Inputs!$F$71)</f>
        <v>73549.405233109283</v>
      </c>
      <c r="L36" s="206">
        <f t="shared" si="4"/>
        <v>346939.7819527525</v>
      </c>
      <c r="M36" s="206">
        <f t="shared" si="5"/>
        <v>3.9713802879207023</v>
      </c>
    </row>
    <row r="37" spans="1:13" ht="13.5" customHeight="1" x14ac:dyDescent="0.3">
      <c r="A37" s="205" t="str">
        <f>CFO_Bill_Rate_Breakdown!A36</f>
        <v>Umbrella / Other Insurance</v>
      </c>
      <c r="B37" s="206">
        <f>CFO_Bill_Rate_Breakdown!B36</f>
        <v>0.31447350000000002</v>
      </c>
      <c r="C37" s="206">
        <f>CFO_Bill_Rate_Breakdown!C36</f>
        <v>5494.4809920000007</v>
      </c>
      <c r="D37" s="206">
        <f>IF(Inputs!$C$64="Manual",IF(OR($B37="",Inputs!$B$65=0,Inputs!$C$65=""),"",$B37*(Inputs!$C$65/Inputs!$B$65)),IF(OR($B37="",$B37=0),"",$B37*(1+$B$4)^1))</f>
        <v>0.32390770500000005</v>
      </c>
      <c r="E37" s="206">
        <f>IF(OR(D37="",D37=0,Inputs!$C$71=""),"",D37*Inputs!$C$71)</f>
        <v>5659.3154217600004</v>
      </c>
      <c r="F37" s="206">
        <f>IF(Inputs!$D$64="Manual",IF(OR($B37="",Inputs!$B$65=0,Inputs!$D$65=""),"",$B37*(Inputs!$D$65/Inputs!$B$65)),IF(OR($B37="",$B37=0),"",$B37*(1+$B$4)^2))</f>
        <v>0.33362493615</v>
      </c>
      <c r="G37" s="206">
        <f>IF(OR(F37="",F37=0,Inputs!$D$71=""),"",F37*Inputs!$D$71)</f>
        <v>5829.0948844127997</v>
      </c>
      <c r="H37" s="206">
        <f>IF(Inputs!$E$64="Manual",IF(OR($B37="",Inputs!$B$65=0,Inputs!$E$65=""),"",$B37*(Inputs!$E$65/Inputs!$B$65)),IF(OR($B37="",$B37=0),"",$B37*(1+$B$4)^3))</f>
        <v>0.34363368423450003</v>
      </c>
      <c r="I37" s="206">
        <f>IF(OR(H37="",H37=0,Inputs!$E$71=""),"",H37*Inputs!$E$71)</f>
        <v>6003.9677309451845</v>
      </c>
      <c r="J37" s="206">
        <f>IF(Inputs!$F$64="Manual",IF(OR($B37="",Inputs!$B$65=0,Inputs!$F$65=""),"",$B37*(Inputs!$F$65/Inputs!$B$65)),IF(OR($B37="",$B37=0),"",$B37*(1+$B$4)^4))</f>
        <v>0.353942694761535</v>
      </c>
      <c r="K37" s="206">
        <f>IF(OR(J37="",J37=0,Inputs!$F$71=""),"",J37*Inputs!$F$71)</f>
        <v>6184.0867628735396</v>
      </c>
      <c r="L37" s="206">
        <f t="shared" si="4"/>
        <v>29170.945791991522</v>
      </c>
      <c r="M37" s="206">
        <f t="shared" si="5"/>
        <v>0.33391650402920703</v>
      </c>
    </row>
    <row r="38" spans="1:13" ht="13.5" customHeight="1" x14ac:dyDescent="0.3">
      <c r="A38" s="207" t="str">
        <f>CFO_Bill_Rate_Breakdown!A37</f>
        <v>Total Operations / Support</v>
      </c>
      <c r="B38" s="208">
        <f>CFO_Bill_Rate_Breakdown!B37</f>
        <v>9.7146414377222783</v>
      </c>
      <c r="C38" s="206">
        <f>CFO_Bill_Rate_Breakdown!C37</f>
        <v>169734.21519988365</v>
      </c>
      <c r="D38" s="206">
        <f>IF(Inputs!$C$64="Manual",IF(OR($B38="",Inputs!$B$65=0,Inputs!$C$65=""),"",$B38*(Inputs!$C$65/Inputs!$B$65)),IF(OR($B38="",$B38=0),"",$B38*(1+$B$4)^1))</f>
        <v>10.006080680853946</v>
      </c>
      <c r="E38" s="206">
        <f>IF(OR(D38="",D38=0,Inputs!$C$71=""),"",D38*Inputs!$C$71)</f>
        <v>174826.24165588015</v>
      </c>
      <c r="F38" s="206">
        <f>IF(Inputs!$D$64="Manual",IF(OR($B38="",Inputs!$B$65=0,Inputs!$D$65=""),"",$B38*(Inputs!$D$65/Inputs!$B$65)),IF(OR($B38="",$B38=0),"",$B38*(1+$B$4)^2))</f>
        <v>10.306263101279564</v>
      </c>
      <c r="G38" s="206">
        <f>IF(OR(F38="",F38=0,Inputs!$D$71=""),"",F38*Inputs!$D$71)</f>
        <v>180071.02890555654</v>
      </c>
      <c r="H38" s="206">
        <f>IF(Inputs!$E$64="Manual",IF(OR($B38="",Inputs!$B$65=0,Inputs!$E$65=""),"",$B38*(Inputs!$E$65/Inputs!$B$65)),IF(OR($B38="",$B38=0),"",$B38*(1+$B$4)^3))</f>
        <v>10.615450994317952</v>
      </c>
      <c r="I38" s="206">
        <f>IF(OR(H38="",H38=0,Inputs!$E$71=""),"",H38*Inputs!$E$71)</f>
        <v>185473.15977272324</v>
      </c>
      <c r="J38" s="206">
        <f>IF(Inputs!$F$64="Manual",IF(OR($B38="",Inputs!$B$65=0,Inputs!$F$65=""),"",$B38*(Inputs!$F$65/Inputs!$B$65)),IF(OR($B38="",$B38=0),"",$B38*(1+$B$4)^4))</f>
        <v>10.93391452414749</v>
      </c>
      <c r="K38" s="206">
        <f>IF(OR(J38="",J38=0,Inputs!$F$71=""),"",J38*Inputs!$F$71)</f>
        <v>191037.35456590494</v>
      </c>
      <c r="L38" s="206">
        <f t="shared" si="4"/>
        <v>901142.00009994849</v>
      </c>
      <c r="M38" s="206">
        <f t="shared" si="5"/>
        <v>10.315270147664247</v>
      </c>
    </row>
    <row r="39" spans="1:13" ht="14.25" customHeight="1" x14ac:dyDescent="0.25">
      <c r="A39" s="204" t="s">
        <v>70</v>
      </c>
      <c r="B39" s="58"/>
      <c r="C39" s="58"/>
      <c r="D39" s="58"/>
      <c r="E39" s="58"/>
      <c r="F39" s="58"/>
      <c r="G39" s="58"/>
      <c r="H39" s="58"/>
      <c r="I39" s="58"/>
      <c r="J39" s="58"/>
      <c r="K39" s="58"/>
      <c r="L39" s="58"/>
      <c r="M39" s="58"/>
    </row>
    <row r="40" spans="1:13" ht="13.5" customHeight="1" x14ac:dyDescent="0.3">
      <c r="A40" s="205" t="str">
        <f>CFO_Bill_Rate_Breakdown!A40</f>
        <v>Administrative / HR / Payroll</v>
      </c>
      <c r="B40" s="206">
        <f>CFO_Bill_Rate_Breakdown!B40</f>
        <v>0</v>
      </c>
      <c r="C40" s="206">
        <f>CFO_Bill_Rate_Breakdown!C40</f>
        <v>0</v>
      </c>
      <c r="D40" s="206" t="str">
        <f>IF(Inputs!$C$64="Manual",IF(OR($B40="",Inputs!$B$65=0,Inputs!$C$65=""),"",$B40*(Inputs!$C$65/Inputs!$B$65)),IF(OR($B40="",$B40=0),"",$B40*(1+$B$4)^1))</f>
        <v/>
      </c>
      <c r="E40" s="206" t="str">
        <f>IF(OR(D40="",D40=0,Inputs!$C$71=""),"",D40*Inputs!$C$71)</f>
        <v/>
      </c>
      <c r="F40" s="206" t="str">
        <f>IF(Inputs!$D$64="Manual",IF(OR($B40="",Inputs!$B$65=0,Inputs!$D$65=""),"",$B40*(Inputs!$D$65/Inputs!$B$65)),IF(OR($B40="",$B40=0),"",$B40*(1+$B$4)^2))</f>
        <v/>
      </c>
      <c r="G40" s="206" t="str">
        <f>IF(OR(F40="",F40=0,Inputs!$D$71=""),"",F40*Inputs!$D$71)</f>
        <v/>
      </c>
      <c r="H40" s="206" t="str">
        <f>IF(Inputs!$E$64="Manual",IF(OR($B40="",Inputs!$B$65=0,Inputs!$E$65=""),"",$B40*(Inputs!$E$65/Inputs!$B$65)),IF(OR($B40="",$B40=0),"",$B40*(1+$B$4)^3))</f>
        <v/>
      </c>
      <c r="I40" s="206" t="str">
        <f>IF(OR(H40="",H40=0,Inputs!$E$71=""),"",H40*Inputs!$E$71)</f>
        <v/>
      </c>
      <c r="J40" s="206" t="str">
        <f>IF(Inputs!$F$64="Manual",IF(OR($B40="",Inputs!$B$65=0,Inputs!$F$65=""),"",$B40*(Inputs!$F$65/Inputs!$B$65)),IF(OR($B40="",$B40=0),"",$B40*(1+$B$4)^4))</f>
        <v/>
      </c>
      <c r="K40" s="206" t="str">
        <f>IF(OR(J40="",J40=0,Inputs!$F$71=""),"",J40*Inputs!$F$71)</f>
        <v/>
      </c>
      <c r="L40" s="206">
        <f t="shared" ref="L40:L45" si="6">SUM(C40,E40,G40,I40,K40)</f>
        <v>0</v>
      </c>
      <c r="M40" s="206">
        <f t="shared" ref="M40:M45" si="7">AVERAGE(B40,D40,F40,H40,J40)</f>
        <v>0</v>
      </c>
    </row>
    <row r="41" spans="1:13" ht="13.5" customHeight="1" x14ac:dyDescent="0.3">
      <c r="A41" s="205" t="str">
        <f>CFO_Bill_Rate_Breakdown!A41</f>
        <v>Accounting / Legal</v>
      </c>
      <c r="B41" s="206">
        <f>CFO_Bill_Rate_Breakdown!B41</f>
        <v>0</v>
      </c>
      <c r="C41" s="206">
        <f>CFO_Bill_Rate_Breakdown!C41</f>
        <v>0</v>
      </c>
      <c r="D41" s="206" t="str">
        <f>IF(Inputs!$C$64="Manual",IF(OR($B41="",Inputs!$B$65=0,Inputs!$C$65=""),"",$B41*(Inputs!$C$65/Inputs!$B$65)),IF(OR($B41="",$B41=0),"",$B41*(1+$B$4)^1))</f>
        <v/>
      </c>
      <c r="E41" s="206" t="str">
        <f>IF(OR(D41="",D41=0,Inputs!$C$71=""),"",D41*Inputs!$C$71)</f>
        <v/>
      </c>
      <c r="F41" s="206" t="str">
        <f>IF(Inputs!$D$64="Manual",IF(OR($B41="",Inputs!$B$65=0,Inputs!$D$65=""),"",$B41*(Inputs!$D$65/Inputs!$B$65)),IF(OR($B41="",$B41=0),"",$B41*(1+$B$4)^2))</f>
        <v/>
      </c>
      <c r="G41" s="206" t="str">
        <f>IF(OR(F41="",F41=0,Inputs!$D$71=""),"",F41*Inputs!$D$71)</f>
        <v/>
      </c>
      <c r="H41" s="206" t="str">
        <f>IF(Inputs!$E$64="Manual",IF(OR($B41="",Inputs!$B$65=0,Inputs!$E$65=""),"",$B41*(Inputs!$E$65/Inputs!$B$65)),IF(OR($B41="",$B41=0),"",$B41*(1+$B$4)^3))</f>
        <v/>
      </c>
      <c r="I41" s="206" t="str">
        <f>IF(OR(H41="",H41=0,Inputs!$E$71=""),"",H41*Inputs!$E$71)</f>
        <v/>
      </c>
      <c r="J41" s="206" t="str">
        <f>IF(Inputs!$F$64="Manual",IF(OR($B41="",Inputs!$B$65=0,Inputs!$F$65=""),"",$B41*(Inputs!$F$65/Inputs!$B$65)),IF(OR($B41="",$B41=0),"",$B41*(1+$B$4)^4))</f>
        <v/>
      </c>
      <c r="K41" s="206" t="str">
        <f>IF(OR(J41="",J41=0,Inputs!$F$71=""),"",J41*Inputs!$F$71)</f>
        <v/>
      </c>
      <c r="L41" s="206">
        <f t="shared" si="6"/>
        <v>0</v>
      </c>
      <c r="M41" s="206">
        <f t="shared" si="7"/>
        <v>0</v>
      </c>
    </row>
    <row r="42" spans="1:13" ht="13.5" customHeight="1" x14ac:dyDescent="0.3">
      <c r="A42" s="205" t="str">
        <f>CFO_Bill_Rate_Breakdown!A42</f>
        <v>Corporate Overhead</v>
      </c>
      <c r="B42" s="206">
        <f>CFO_Bill_Rate_Breakdown!B42</f>
        <v>4.1929800000000004</v>
      </c>
      <c r="C42" s="206">
        <f>CFO_Bill_Rate_Breakdown!C42</f>
        <v>73259.74656</v>
      </c>
      <c r="D42" s="206">
        <f>IF(Inputs!$C$64="Manual",IF(OR($B42="",Inputs!$B$65=0,Inputs!$C$65=""),"",$B42*(Inputs!$C$65/Inputs!$B$65)),IF(OR($B42="",$B42=0),"",$B42*(1+$B$4)^1))</f>
        <v>4.3187694000000008</v>
      </c>
      <c r="E42" s="206">
        <f>IF(OR(D42="",D42=0,Inputs!$C$71=""),"",D42*Inputs!$C$71)</f>
        <v>75457.53895680001</v>
      </c>
      <c r="F42" s="206">
        <f>IF(Inputs!$D$64="Manual",IF(OR($B42="",Inputs!$B$65=0,Inputs!$D$65=""),"",$B42*(Inputs!$D$65/Inputs!$B$65)),IF(OR($B42="",$B42=0),"",$B42*(1+$B$4)^2))</f>
        <v>4.4483324820000005</v>
      </c>
      <c r="G42" s="206">
        <f>IF(OR(F42="",F42=0,Inputs!$D$71=""),"",F42*Inputs!$D$71)</f>
        <v>77721.265125504011</v>
      </c>
      <c r="H42" s="206">
        <f>IF(Inputs!$E$64="Manual",IF(OR($B42="",Inputs!$B$65=0,Inputs!$E$65=""),"",$B42*(Inputs!$E$65/Inputs!$B$65)),IF(OR($B42="",$B42=0),"",$B42*(1+$B$4)^3))</f>
        <v>4.58178245646</v>
      </c>
      <c r="I42" s="206">
        <f>IF(OR(H42="",H42=0,Inputs!$E$71=""),"",H42*Inputs!$E$71)</f>
        <v>80052.903079269119</v>
      </c>
      <c r="J42" s="206">
        <f>IF(Inputs!$F$64="Manual",IF(OR($B42="",Inputs!$B$65=0,Inputs!$F$65=""),"",$B42*(Inputs!$F$65/Inputs!$B$65)),IF(OR($B42="",$B42=0),"",$B42*(1+$B$4)^4))</f>
        <v>4.7192359301538005</v>
      </c>
      <c r="K42" s="206">
        <f>IF(OR(J42="",J42=0,Inputs!$F$71=""),"",J42*Inputs!$F$71)</f>
        <v>82454.490171647209</v>
      </c>
      <c r="L42" s="206">
        <f t="shared" si="6"/>
        <v>388945.94389322033</v>
      </c>
      <c r="M42" s="206">
        <f t="shared" si="7"/>
        <v>4.4522200537227601</v>
      </c>
    </row>
    <row r="43" spans="1:13" ht="13.5" customHeight="1" x14ac:dyDescent="0.3">
      <c r="A43" s="205" t="str">
        <f>CFO_Bill_Rate_Breakdown!A43</f>
        <v>G&amp;A</v>
      </c>
      <c r="B43" s="206">
        <f>CFO_Bill_Rate_Breakdown!B43</f>
        <v>3.354384</v>
      </c>
      <c r="C43" s="206">
        <f>CFO_Bill_Rate_Breakdown!C43</f>
        <v>58607.797248000003</v>
      </c>
      <c r="D43" s="206">
        <f>IF(Inputs!$C$64="Manual",IF(OR($B43="",Inputs!$B$65=0,Inputs!$C$65=""),"",$B43*(Inputs!$C$65/Inputs!$B$65)),IF(OR($B43="",$B43=0),"",$B43*(1+$B$4)^1))</f>
        <v>3.4550155200000003</v>
      </c>
      <c r="E43" s="206">
        <f>IF(OR(D43="",D43=0,Inputs!$C$71=""),"",D43*Inputs!$C$71)</f>
        <v>60366.031165440007</v>
      </c>
      <c r="F43" s="206">
        <f>IF(Inputs!$D$64="Manual",IF(OR($B43="",Inputs!$B$65=0,Inputs!$D$65=""),"",$B43*(Inputs!$D$65/Inputs!$B$65)),IF(OR($B43="",$B43=0),"",$B43*(1+$B$4)^2))</f>
        <v>3.5586659855999998</v>
      </c>
      <c r="G43" s="206">
        <f>IF(OR(F43="",F43=0,Inputs!$D$71=""),"",F43*Inputs!$D$71)</f>
        <v>62177.012100403197</v>
      </c>
      <c r="H43" s="206">
        <f>IF(Inputs!$E$64="Manual",IF(OR($B43="",Inputs!$B$65=0,Inputs!$E$65=""),"",$B43*(Inputs!$E$65/Inputs!$B$65)),IF(OR($B43="",$B43=0),"",$B43*(1+$B$4)^3))</f>
        <v>3.6654259651680001</v>
      </c>
      <c r="I43" s="206">
        <f>IF(OR(H43="",H43=0,Inputs!$E$71=""),"",H43*Inputs!$E$71)</f>
        <v>64042.322463415301</v>
      </c>
      <c r="J43" s="206">
        <f>IF(Inputs!$F$64="Manual",IF(OR($B43="",Inputs!$B$65=0,Inputs!$F$65=""),"",$B43*(Inputs!$F$65/Inputs!$B$65)),IF(OR($B43="",$B43=0),"",$B43*(1+$B$4)^4))</f>
        <v>3.7753887441230396</v>
      </c>
      <c r="K43" s="206">
        <f>IF(OR(J43="",J43=0,Inputs!$F$71=""),"",J43*Inputs!$F$71)</f>
        <v>65963.592137317741</v>
      </c>
      <c r="L43" s="206">
        <f t="shared" si="6"/>
        <v>311156.75511457626</v>
      </c>
      <c r="M43" s="206">
        <f t="shared" si="7"/>
        <v>3.5617760429782082</v>
      </c>
    </row>
    <row r="44" spans="1:13" ht="13.5" customHeight="1" x14ac:dyDescent="0.3">
      <c r="A44" s="205" t="str">
        <f>CFO_Bill_Rate_Breakdown!A44</f>
        <v>Profit / Fee</v>
      </c>
      <c r="B44" s="206">
        <f>CFO_Bill_Rate_Breakdown!B44</f>
        <v>19.106529334199998</v>
      </c>
      <c r="C44" s="206">
        <f>CFO_Bill_Rate_Breakdown!C44</f>
        <v>333829.28052714234</v>
      </c>
      <c r="D44" s="206">
        <f>IF(Inputs!$C$64="Manual",IF(OR($B44="",Inputs!$B$65=0,Inputs!$C$65=""),"",$B44*(Inputs!$C$65/Inputs!$B$65)),IF(OR($B44="",$B44=0),"",$B44*(1+$B$4)^1))</f>
        <v>19.679725214225996</v>
      </c>
      <c r="E44" s="206">
        <f>IF(OR(D44="",D44=0,Inputs!$C$71=""),"",D44*Inputs!$C$71)</f>
        <v>343844.15894295659</v>
      </c>
      <c r="F44" s="206">
        <f>IF(Inputs!$D$64="Manual",IF(OR($B44="",Inputs!$B$65=0,Inputs!$D$65=""),"",$B44*(Inputs!$D$65/Inputs!$B$65)),IF(OR($B44="",$B44=0),"",$B44*(1+$B$4)^2))</f>
        <v>20.270116970652776</v>
      </c>
      <c r="G44" s="206">
        <f>IF(OR(F44="",F44=0,Inputs!$D$71=""),"",F44*Inputs!$D$71)</f>
        <v>354159.4837112453</v>
      </c>
      <c r="H44" s="206">
        <f>IF(Inputs!$E$64="Manual",IF(OR($B44="",Inputs!$B$65=0,Inputs!$E$65=""),"",$B44*(Inputs!$E$65/Inputs!$B$65)),IF(OR($B44="",$B44=0),"",$B44*(1+$B$4)^3))</f>
        <v>20.878220479772359</v>
      </c>
      <c r="I44" s="206">
        <f>IF(OR(H44="",H44=0,Inputs!$E$71=""),"",H44*Inputs!$E$71)</f>
        <v>364784.26822258264</v>
      </c>
      <c r="J44" s="206">
        <f>IF(Inputs!$F$64="Manual",IF(OR($B44="",Inputs!$B$65=0,Inputs!$F$65=""),"",$B44*(Inputs!$F$65/Inputs!$B$65)),IF(OR($B44="",$B44=0),"",$B44*(1+$B$4)^4))</f>
        <v>21.50456709416553</v>
      </c>
      <c r="K44" s="206">
        <f>IF(OR(J44="",J44=0,Inputs!$F$71=""),"",J44*Inputs!$F$71)</f>
        <v>375727.79626926017</v>
      </c>
      <c r="L44" s="206">
        <f t="shared" si="6"/>
        <v>1772344.9876731869</v>
      </c>
      <c r="M44" s="206">
        <f t="shared" si="7"/>
        <v>20.28783181860333</v>
      </c>
    </row>
    <row r="45" spans="1:13" ht="13.5" customHeight="1" x14ac:dyDescent="0.3">
      <c r="A45" s="207" t="str">
        <f>CFO_Bill_Rate_Breakdown!A45</f>
        <v>Total Overhead / G&amp;A / Profit</v>
      </c>
      <c r="B45" s="208">
        <f>CFO_Bill_Rate_Breakdown!B45</f>
        <v>26.653893334199999</v>
      </c>
      <c r="C45" s="206">
        <f>CFO_Bill_Rate_Breakdown!C45</f>
        <v>465696.82433514233</v>
      </c>
      <c r="D45" s="206">
        <f>IF(Inputs!$C$64="Manual",IF(OR($B45="",Inputs!$B$65=0,Inputs!$C$65=""),"",$B45*(Inputs!$C$65/Inputs!$B$65)),IF(OR($B45="",$B45=0),"",$B45*(1+$B$4)^1))</f>
        <v>27.453510134226001</v>
      </c>
      <c r="E45" s="206">
        <f>IF(OR(D45="",D45=0,Inputs!$C$71=""),"",D45*Inputs!$C$71)</f>
        <v>479667.72906519671</v>
      </c>
      <c r="F45" s="206">
        <f>IF(Inputs!$D$64="Manual",IF(OR($B45="",Inputs!$B$65=0,Inputs!$D$65=""),"",$B45*(Inputs!$D$65/Inputs!$B$65)),IF(OR($B45="",$B45=0),"",$B45*(1+$B$4)^2))</f>
        <v>28.277115438252778</v>
      </c>
      <c r="G45" s="206">
        <f>IF(OR(F45="",F45=0,Inputs!$D$71=""),"",F45*Inputs!$D$71)</f>
        <v>494057.76093715255</v>
      </c>
      <c r="H45" s="206">
        <f>IF(Inputs!$E$64="Manual",IF(OR($B45="",Inputs!$B$65=0,Inputs!$E$65=""),"",$B45*(Inputs!$E$65/Inputs!$B$65)),IF(OR($B45="",$B45=0),"",$B45*(1+$B$4)^3))</f>
        <v>29.125428901400362</v>
      </c>
      <c r="I45" s="206">
        <f>IF(OR(H45="",H45=0,Inputs!$E$71=""),"",H45*Inputs!$E$71)</f>
        <v>508879.49376526714</v>
      </c>
      <c r="J45" s="206">
        <f>IF(Inputs!$F$64="Manual",IF(OR($B45="",Inputs!$B$65=0,Inputs!$F$65=""),"",$B45*(Inputs!$F$65/Inputs!$B$65)),IF(OR($B45="",$B45=0),"",$B45*(1+$B$4)^4))</f>
        <v>29.999191768442373</v>
      </c>
      <c r="K45" s="206">
        <f>IF(OR(J45="",J45=0,Inputs!$F$71=""),"",J45*Inputs!$F$71)</f>
        <v>524145.87857822515</v>
      </c>
      <c r="L45" s="206">
        <f t="shared" si="6"/>
        <v>2472447.6866809838</v>
      </c>
      <c r="M45" s="206">
        <f t="shared" si="7"/>
        <v>28.301827915304308</v>
      </c>
    </row>
    <row r="46" spans="1:13" ht="26.25" customHeight="1" x14ac:dyDescent="0.25">
      <c r="A46" s="204" t="s">
        <v>389</v>
      </c>
      <c r="B46" s="58"/>
      <c r="C46" s="58"/>
      <c r="D46" s="58"/>
      <c r="E46" s="58"/>
      <c r="F46" s="58"/>
      <c r="G46" s="58"/>
      <c r="H46" s="58"/>
      <c r="I46" s="58"/>
      <c r="J46" s="58"/>
      <c r="K46" s="58"/>
      <c r="L46" s="58">
        <f>IFERROR(SUM(C46:G46),0)</f>
        <v>0</v>
      </c>
      <c r="M46" s="58">
        <f>IFERROR(L46/H46,0)</f>
        <v>0</v>
      </c>
    </row>
    <row r="47" spans="1:13" ht="13.5" customHeight="1" x14ac:dyDescent="0.3">
      <c r="A47" s="205" t="str">
        <f>CFO_Bill_Rate_Breakdown!A48</f>
        <v>Vehicle Cost per Labor Hour</v>
      </c>
      <c r="B47" s="206">
        <f>CFO_Bill_Rate_Breakdown!B48</f>
        <v>3.5046453546453544</v>
      </c>
      <c r="C47" s="206">
        <f>CFO_Bill_Rate_Breakdown!C48</f>
        <v>61233.163636363635</v>
      </c>
      <c r="D47" s="206">
        <f>IF(Inputs!$C$64="Manual",IF(OR($B47="",Inputs!$B$65=0,Inputs!$C$65=""),"",$B47*(Inputs!$C$65/Inputs!$B$65)),IF(OR($B47="",$B47=0),"",$B47*(1+$B$4)^1))</f>
        <v>3.6097847152847153</v>
      </c>
      <c r="E47" s="206">
        <f>IF(OR(D47="",D47=0,Inputs!$C$71=""),"",D47*Inputs!$C$71)</f>
        <v>63070.158545454549</v>
      </c>
      <c r="F47" s="206">
        <f>IF(Inputs!$D$64="Manual",IF(OR($B47="",Inputs!$B$65=0,Inputs!$D$65=""),"",$B47*(Inputs!$D$65/Inputs!$B$65)),IF(OR($B47="",$B47=0),"",$B47*(1+$B$4)^2))</f>
        <v>3.7180782567432562</v>
      </c>
      <c r="G47" s="206">
        <f>IF(OR(F47="",F47=0,Inputs!$D$71=""),"",F47*Inputs!$D$71)</f>
        <v>64962.263301818173</v>
      </c>
      <c r="H47" s="206">
        <f>IF(Inputs!$E$64="Manual",IF(OR($B47="",Inputs!$B$65=0,Inputs!$E$65=""),"",$B47*(Inputs!$E$65/Inputs!$B$65)),IF(OR($B47="",$B47=0),"",$B47*(1+$B$4)^3))</f>
        <v>3.8296206044455543</v>
      </c>
      <c r="I47" s="206">
        <f>IF(OR(H47="",H47=0,Inputs!$E$71=""),"",H47*Inputs!$E$71)</f>
        <v>66911.131200872725</v>
      </c>
      <c r="J47" s="206">
        <f>IF(Inputs!$F$64="Manual",IF(OR($B47="",Inputs!$B$65=0,Inputs!$F$65=""),"",$B47*(Inputs!$F$65/Inputs!$B$65)),IF(OR($B47="",$B47=0),"",$B47*(1+$B$4)^4))</f>
        <v>3.9445092225789207</v>
      </c>
      <c r="K47" s="206">
        <f>IF(OR(J47="",J47=0,Inputs!$F$71=""),"",J47*Inputs!$F$71)</f>
        <v>68918.4651368989</v>
      </c>
      <c r="L47" s="206">
        <f>SUM(C47,E47,G47,I47,K47)</f>
        <v>325095.18182140798</v>
      </c>
      <c r="M47" s="206">
        <f>AVERAGE(B47,D47,F47,H47,J47)</f>
        <v>3.7213276307395602</v>
      </c>
    </row>
    <row r="48" spans="1:13" ht="13.5" customHeight="1" x14ac:dyDescent="0.3">
      <c r="A48" s="205" t="str">
        <f>CFO_Bill_Rate_Breakdown!A49</f>
        <v>Uniform &amp; Equipment Cost per Labor Hour</v>
      </c>
      <c r="B48" s="206">
        <f>CFO_Bill_Rate_Breakdown!B49</f>
        <v>1.1071394230769229</v>
      </c>
      <c r="C48" s="206">
        <f>CFO_Bill_Rate_Breakdown!C49</f>
        <v>19343.939999999999</v>
      </c>
      <c r="D48" s="206">
        <f>IF(Inputs!$C$64="Manual",IF(OR($B48="",Inputs!$B$65=0,Inputs!$C$65=""),"",$B48*(Inputs!$C$65/Inputs!$B$65)),IF(OR($B48="",$B48=0),"",$B48*(1+$B$4)^1))</f>
        <v>1.1403536057692307</v>
      </c>
      <c r="E48" s="206">
        <f>IF(OR(D48="",D48=0,Inputs!$C$71=""),"",D48*Inputs!$C$71)</f>
        <v>19924.2582</v>
      </c>
      <c r="F48" s="206">
        <f>IF(Inputs!$D$64="Manual",IF(OR($B48="",Inputs!$B$65=0,Inputs!$D$65=""),"",$B48*(Inputs!$D$65/Inputs!$B$65)),IF(OR($B48="",$B48=0),"",$B48*(1+$B$4)^2))</f>
        <v>1.1745642139423076</v>
      </c>
      <c r="G48" s="206">
        <f>IF(OR(F48="",F48=0,Inputs!$D$71=""),"",F48*Inputs!$D$71)</f>
        <v>20521.985945999997</v>
      </c>
      <c r="H48" s="206">
        <f>IF(Inputs!$E$64="Manual",IF(OR($B48="",Inputs!$B$65=0,Inputs!$E$65=""),"",$B48*(Inputs!$E$65/Inputs!$B$65)),IF(OR($B48="",$B48=0),"",$B48*(1+$B$4)^3))</f>
        <v>1.2098011403605768</v>
      </c>
      <c r="I48" s="206">
        <f>IF(OR(H48="",H48=0,Inputs!$E$71=""),"",H48*Inputs!$E$71)</f>
        <v>21137.645524379997</v>
      </c>
      <c r="J48" s="206">
        <f>IF(Inputs!$F$64="Manual",IF(OR($B48="",Inputs!$B$65=0,Inputs!$F$65=""),"",$B48*(Inputs!$F$65/Inputs!$B$65)),IF(OR($B48="",$B48=0),"",$B48*(1+$B$4)^4))</f>
        <v>1.246095174571394</v>
      </c>
      <c r="K48" s="206">
        <f>IF(OR(J48="",J48=0,Inputs!$F$71=""),"",J48*Inputs!$F$71)</f>
        <v>21771.774890111396</v>
      </c>
      <c r="L48" s="206">
        <f>SUM(C48,E48,G48,I48,K48)</f>
        <v>102699.6045604914</v>
      </c>
      <c r="M48" s="206">
        <f>AVERAGE(B48,D48,F48,H48,J48)</f>
        <v>1.1755907115440865</v>
      </c>
    </row>
    <row r="49" spans="1:13" ht="13.5" customHeight="1" x14ac:dyDescent="0.3">
      <c r="A49" s="205" t="str">
        <f>CFO_Bill_Rate_Breakdown!A50</f>
        <v>Training Program Cost per Labor Hour</v>
      </c>
      <c r="B49" s="206">
        <f>CFO_Bill_Rate_Breakdown!B50</f>
        <v>2.2161172161172167</v>
      </c>
      <c r="C49" s="206">
        <f>CFO_Bill_Rate_Breakdown!C50</f>
        <v>38720.000000000007</v>
      </c>
      <c r="D49" s="206">
        <f>IF(Inputs!$C$64="Manual",IF(OR($B49="",Inputs!$B$65=0,Inputs!$C$65=""),"",$B49*(Inputs!$C$65/Inputs!$B$65)),IF(OR($B49="",$B49=0),"",$B49*(1+$B$4)^1))</f>
        <v>2.2826007326007334</v>
      </c>
      <c r="E49" s="206">
        <f>IF(OR(D49="",D49=0,Inputs!$C$71=""),"",D49*Inputs!$C$71)</f>
        <v>39881.600000000013</v>
      </c>
      <c r="F49" s="206">
        <f>IF(Inputs!$D$64="Manual",IF(OR($B49="",Inputs!$B$65=0,Inputs!$D$65=""),"",$B49*(Inputs!$D$65/Inputs!$B$65)),IF(OR($B49="",$B49=0),"",$B49*(1+$B$4)^2))</f>
        <v>2.3510787545787553</v>
      </c>
      <c r="G49" s="206">
        <f>IF(OR(F49="",F49=0,Inputs!$D$71=""),"",F49*Inputs!$D$71)</f>
        <v>41078.04800000001</v>
      </c>
      <c r="H49" s="206">
        <f>IF(Inputs!$E$64="Manual",IF(OR($B49="",Inputs!$B$65=0,Inputs!$E$65=""),"",$B49*(Inputs!$E$65/Inputs!$B$65)),IF(OR($B49="",$B49=0),"",$B49*(1+$B$4)^3))</f>
        <v>2.4216111172161177</v>
      </c>
      <c r="I49" s="206">
        <f>IF(OR(H49="",H49=0,Inputs!$E$71=""),"",H49*Inputs!$E$71)</f>
        <v>42310.389440000006</v>
      </c>
      <c r="J49" s="206">
        <f>IF(Inputs!$F$64="Manual",IF(OR($B49="",Inputs!$B$65=0,Inputs!$F$65=""),"",$B49*(Inputs!$F$65/Inputs!$B$65)),IF(OR($B49="",$B49=0),"",$B49*(1+$B$4)^4))</f>
        <v>2.494259450732601</v>
      </c>
      <c r="K49" s="206">
        <f>IF(OR(J49="",J49=0,Inputs!$F$71=""),"",J49*Inputs!$F$71)</f>
        <v>43579.701123200008</v>
      </c>
      <c r="L49" s="206">
        <f>SUM(C49,E49,G49,I49,K49)</f>
        <v>205569.73856320005</v>
      </c>
      <c r="M49" s="206">
        <f>AVERAGE(B49,D49,F49,H49,J49)</f>
        <v>2.3531334542490847</v>
      </c>
    </row>
    <row r="50" spans="1:13" ht="13.5" customHeight="1" x14ac:dyDescent="0.25">
      <c r="A50" s="209" t="s">
        <v>553</v>
      </c>
      <c r="B50" s="140"/>
      <c r="C50" s="140"/>
      <c r="D50" s="140"/>
      <c r="E50" s="140"/>
      <c r="F50" s="140"/>
      <c r="G50" s="140"/>
      <c r="H50" s="140"/>
      <c r="I50" s="140"/>
      <c r="J50" s="140"/>
      <c r="K50" s="140"/>
      <c r="L50" s="140">
        <f>IFERROR(SUM(C50:G50),0)</f>
        <v>0</v>
      </c>
      <c r="M50" s="140">
        <f>IFERROR(L50/H50,0)</f>
        <v>0</v>
      </c>
    </row>
    <row r="51" spans="1:13" ht="13.5" customHeight="1" x14ac:dyDescent="0.3">
      <c r="A51" s="210" t="str">
        <f>CFO_Bill_Rate_Breakdown!A52</f>
        <v>Total Bill Rate</v>
      </c>
      <c r="B51" s="211">
        <f>CFO_Bill_Rate_Breakdown!B52</f>
        <v>86.914908671922277</v>
      </c>
      <c r="C51" s="211">
        <f>CFO_Bill_Rate_Breakdown!C52</f>
        <v>1518577.2843158259</v>
      </c>
      <c r="D51" s="206">
        <f>IF(Inputs!$C$64="Manual",IF(OR($B51="",Inputs!$B$65=0,Inputs!$C$65=""),"",$B51*(Inputs!$C$65/Inputs!$B$65)),IF(OR($B51="",$B51=0),"",$B51*(1+$B$4)^1))</f>
        <v>89.522355932079947</v>
      </c>
      <c r="E51" s="206">
        <f>IF(OR(D51="",D51=0,Inputs!$C$71=""),"",D51*Inputs!$C$71)</f>
        <v>1564134.6028453009</v>
      </c>
      <c r="F51" s="206">
        <f>IF(Inputs!$D$64="Manual",IF(OR($B51="",Inputs!$B$65=0,Inputs!$D$65=""),"",$B51*(Inputs!$D$65/Inputs!$B$65)),IF(OR($B51="",$B51=0),"",$B51*(1+$B$4)^2))</f>
        <v>92.208026610042339</v>
      </c>
      <c r="G51" s="206">
        <f>IF(OR(F51="",F51=0,Inputs!$D$71=""),"",F51*Inputs!$D$71)</f>
        <v>1611058.6409306598</v>
      </c>
      <c r="H51" s="206">
        <f>IF(Inputs!$E$64="Manual",IF(OR($B51="",Inputs!$B$65=0,Inputs!$E$65=""),"",$B51*(Inputs!$E$65/Inputs!$B$65)),IF(OR($B51="",$B51=0),"",$B51*(1+$B$4)^3))</f>
        <v>94.974267408343607</v>
      </c>
      <c r="I51" s="206">
        <f>IF(OR(H51="",H51=0,Inputs!$E$71=""),"",H51*Inputs!$E$71)</f>
        <v>1659390.4001585795</v>
      </c>
      <c r="J51" s="206">
        <f>IF(Inputs!$F$64="Manual",IF(OR($B51="",Inputs!$B$65=0,Inputs!$F$65=""),"",$B51*(Inputs!$F$65/Inputs!$B$65)),IF(OR($B51="",$B51=0),"",$B51*(1+$B$4)^4))</f>
        <v>97.823495430593908</v>
      </c>
      <c r="K51" s="206">
        <f>IF(OR(J51="",J51=0,Inputs!$F$71=""),"",J51*Inputs!$F$71)</f>
        <v>1709172.1121633367</v>
      </c>
      <c r="L51" s="212">
        <f>SUM(C51,E51,G51,I51,K51)</f>
        <v>8062333.0404137028</v>
      </c>
      <c r="M51" s="206">
        <f>AVERAGE(B51,D51,F51,H51,J51)</f>
        <v>92.288610810596424</v>
      </c>
    </row>
    <row r="52" spans="1:13" ht="13.5" customHeight="1" x14ac:dyDescent="0.3">
      <c r="A52" s="205" t="s">
        <v>554</v>
      </c>
      <c r="B52" s="206">
        <f>Appraisal_Full_Scope_Report!$F$8</f>
        <v>129.97639002857142</v>
      </c>
      <c r="C52" s="206">
        <f>B52*Inputs!$B$71</f>
        <v>2270947.4865791998</v>
      </c>
      <c r="D52" s="206">
        <f>IF(Inputs!$C$64="Manual",IF(OR($B52="",Inputs!$B$65=0,Inputs!$C$65=""),"",$B52*(Inputs!$C$65/Inputs!$B$65)),IF(OR($B52="",$B52=0),"",$B52*(1+$B$4)^1))</f>
        <v>133.87568172942855</v>
      </c>
      <c r="E52" s="206">
        <f>IF(OR(D52="",D52=0,Inputs!$C$71=""),"",D52*Inputs!$C$71)</f>
        <v>2339075.9111765758</v>
      </c>
      <c r="F52" s="206">
        <f>IF(Inputs!$D$64="Manual",IF(OR($B52="",Inputs!$B$65=0,Inputs!$D$65=""),"",$B52*(Inputs!$D$65/Inputs!$B$65)),IF(OR($B52="",$B52=0),"",$B52*(1+$B$4)^2))</f>
        <v>137.89195218131141</v>
      </c>
      <c r="G52" s="206">
        <f>IF(OR(F52="",F52=0,Inputs!$D$71=""),"",F52*Inputs!$D$71)</f>
        <v>2409248.1885118731</v>
      </c>
      <c r="H52" s="206">
        <f>IF(Inputs!$E$64="Manual",IF(OR($B52="",Inputs!$B$65=0,Inputs!$E$65=""),"",$B52*(Inputs!$E$65/Inputs!$B$65)),IF(OR($B52="",$B52=0),"",$B52*(1+$B$4)^3))</f>
        <v>142.02871074675076</v>
      </c>
      <c r="I52" s="206">
        <f>IF(OR(H52="",H52=0,Inputs!$E$71=""),"",H52*Inputs!$E$71)</f>
        <v>2481525.6341672293</v>
      </c>
      <c r="J52" s="206">
        <f>IF(Inputs!$F$64="Manual",IF(OR($B52="",Inputs!$B$65=0,Inputs!$F$65=""),"",$B52*(Inputs!$F$65/Inputs!$B$65)),IF(OR($B52="",$B52=0),"",$B52*(1+$B$4)^4))</f>
        <v>146.28957206915328</v>
      </c>
      <c r="K52" s="206">
        <f>IF(OR(J52="",J52=0,Inputs!$F$71=""),"",J52*Inputs!$F$71)</f>
        <v>2555971.4031922463</v>
      </c>
      <c r="L52" s="212">
        <f>SUM(C52,E52,G52,I52,K52)</f>
        <v>12056768.623627124</v>
      </c>
      <c r="M52" s="206">
        <f>AVERAGE(B52,D52,F52,H52,J52)</f>
        <v>138.01246135104307</v>
      </c>
    </row>
    <row r="53" spans="1:13" ht="13.5" customHeight="1" x14ac:dyDescent="0.3">
      <c r="A53" s="205" t="s">
        <v>555</v>
      </c>
      <c r="B53" s="206">
        <f>B52-B51</f>
        <v>43.061481356649139</v>
      </c>
      <c r="C53" s="206">
        <f>B53*Inputs!$B$71</f>
        <v>752370.20226337377</v>
      </c>
      <c r="D53" s="206">
        <f>IF(Inputs!$C$64="Manual",IF(OR($B53="",Inputs!$B$65=0,Inputs!$C$65=""),"",$B53*(Inputs!$C$65/Inputs!$B$65)),IF(OR($B53="",$B53=0),"",$B53*(1+$B$4)^1))</f>
        <v>44.353325797348617</v>
      </c>
      <c r="E53" s="206">
        <f>IF(OR(D53="",D53=0,Inputs!$C$71=""),"",D53*Inputs!$C$71)</f>
        <v>774941.30833127501</v>
      </c>
      <c r="F53" s="206">
        <f>IF(Inputs!$D$64="Manual",IF(OR($B53="",Inputs!$B$65=0,Inputs!$D$65=""),"",$B53*(Inputs!$D$65/Inputs!$B$65)),IF(OR($B53="",$B53=0),"",$B53*(1+$B$4)^2))</f>
        <v>45.683925571269071</v>
      </c>
      <c r="G53" s="206">
        <f>IF(OR(F53="",F53=0,Inputs!$D$71=""),"",F53*Inputs!$D$71)</f>
        <v>798189.54758121318</v>
      </c>
      <c r="H53" s="206">
        <f>IF(Inputs!$E$64="Manual",IF(OR($B53="",Inputs!$B$65=0,Inputs!$E$65=""),"",$B53*(Inputs!$E$65/Inputs!$B$65)),IF(OR($B53="",$B53=0),"",$B53*(1+$B$4)^3))</f>
        <v>47.054443338407147</v>
      </c>
      <c r="I53" s="206">
        <f>IF(OR(H53="",H53=0,Inputs!$E$71=""),"",H53*Inputs!$E$71)</f>
        <v>822135.23400864971</v>
      </c>
      <c r="J53" s="206">
        <f>IF(Inputs!$F$64="Manual",IF(OR($B53="",Inputs!$B$65=0,Inputs!$F$65=""),"",$B53*(Inputs!$F$65/Inputs!$B$65)),IF(OR($B53="",$B53=0),"",$B53*(1+$B$4)^4))</f>
        <v>48.466076638559358</v>
      </c>
      <c r="K53" s="206">
        <f>IF(OR(J53="",J53=0,Inputs!$F$71=""),"",J53*Inputs!$F$71)</f>
        <v>846799.29102890915</v>
      </c>
      <c r="L53" s="212">
        <f>SUM(C53,E53,G53,I53,K53)</f>
        <v>3994435.5832134206</v>
      </c>
      <c r="M53" s="206">
        <f>AVERAGE(B53,D53,F53,H53,J53)</f>
        <v>45.723850540446662</v>
      </c>
    </row>
    <row r="54" spans="1:13" ht="13.5" customHeight="1" x14ac:dyDescent="0.25"/>
    <row r="55" spans="1:13" ht="13.5" customHeight="1" x14ac:dyDescent="0.25">
      <c r="A55" s="213" t="s">
        <v>556</v>
      </c>
      <c r="B55" s="214"/>
      <c r="C55" s="140"/>
      <c r="D55" s="140"/>
      <c r="E55" s="140"/>
      <c r="F55" s="140"/>
      <c r="G55" s="140"/>
      <c r="H55" s="140"/>
      <c r="I55" s="140"/>
      <c r="J55" s="140"/>
      <c r="K55" s="140"/>
      <c r="L55" s="140"/>
      <c r="M55" s="140"/>
    </row>
    <row r="56" spans="1:13" ht="13.5" customHeight="1" x14ac:dyDescent="0.25">
      <c r="A56" s="215" t="s">
        <v>557</v>
      </c>
      <c r="B56" s="216">
        <f>L51</f>
        <v>8062333.0404137028</v>
      </c>
      <c r="C56" s="217"/>
      <c r="D56" s="217"/>
      <c r="E56" s="217"/>
      <c r="F56" s="217"/>
      <c r="G56" s="217"/>
      <c r="H56" s="217"/>
      <c r="I56" s="217"/>
      <c r="J56" s="217"/>
      <c r="K56" s="217"/>
      <c r="L56" s="217"/>
    </row>
    <row r="57" spans="1:13" ht="12.75" customHeight="1" x14ac:dyDescent="0.25">
      <c r="A57" s="215" t="s">
        <v>558</v>
      </c>
      <c r="B57" s="216">
        <f>L52</f>
        <v>12056768.623627124</v>
      </c>
      <c r="C57" s="217"/>
      <c r="D57" s="217"/>
      <c r="E57" s="217"/>
      <c r="F57" s="217"/>
      <c r="G57" s="217"/>
      <c r="H57" s="217"/>
      <c r="I57" s="217"/>
      <c r="J57" s="217"/>
      <c r="K57" s="217"/>
      <c r="L57" s="217"/>
    </row>
    <row r="58" spans="1:13" ht="26.25" customHeight="1" x14ac:dyDescent="0.25">
      <c r="A58" s="215" t="s">
        <v>559</v>
      </c>
      <c r="B58" s="216">
        <f>L53</f>
        <v>3994435.5832134206</v>
      </c>
      <c r="C58" s="217"/>
      <c r="D58" s="217"/>
      <c r="E58" s="217"/>
      <c r="F58" s="217"/>
      <c r="G58" s="217"/>
      <c r="H58" s="217"/>
      <c r="I58" s="217"/>
      <c r="J58" s="217"/>
      <c r="K58" s="217"/>
      <c r="L58" s="217"/>
    </row>
    <row r="59" spans="1:13" ht="26.25" hidden="1" customHeight="1" x14ac:dyDescent="0.25">
      <c r="A59" s="218" t="s">
        <v>560</v>
      </c>
      <c r="B59" s="219">
        <f>B56-B57</f>
        <v>-3994435.5832134215</v>
      </c>
      <c r="C59" s="217"/>
      <c r="D59" s="217"/>
      <c r="E59" s="217"/>
      <c r="F59" s="217"/>
      <c r="G59" s="217"/>
      <c r="H59" s="217"/>
      <c r="I59" s="217"/>
      <c r="J59" s="217"/>
      <c r="K59" s="217"/>
      <c r="L59" s="217"/>
    </row>
    <row r="60" spans="1:13" ht="26.25" hidden="1" customHeight="1" x14ac:dyDescent="0.25"/>
    <row r="61" spans="1:13" ht="14.25" hidden="1" customHeight="1" x14ac:dyDescent="0.25">
      <c r="A61" s="58" t="s">
        <v>561</v>
      </c>
    </row>
    <row r="62" spans="1:13" ht="15.75" hidden="1" customHeight="1" x14ac:dyDescent="0.25">
      <c r="B62" s="96" t="s">
        <v>190</v>
      </c>
      <c r="C62" s="96" t="s">
        <v>191</v>
      </c>
      <c r="D62" s="96" t="s">
        <v>192</v>
      </c>
      <c r="E62" s="96" t="s">
        <v>193</v>
      </c>
      <c r="F62" s="96" t="s">
        <v>194</v>
      </c>
      <c r="G62" s="96"/>
    </row>
    <row r="63" spans="1:13" ht="14.25" hidden="1" customHeight="1" x14ac:dyDescent="0.25">
      <c r="A63" s="63" t="s">
        <v>198</v>
      </c>
      <c r="B63" s="67">
        <f>Inputs!B65</f>
        <v>27.48</v>
      </c>
      <c r="C63" s="67">
        <f>Inputs!C65</f>
        <v>28.304400000000001</v>
      </c>
      <c r="D63" s="67">
        <f>Inputs!D65</f>
        <v>29.153531999999998</v>
      </c>
      <c r="E63" s="67">
        <f>Inputs!E65</f>
        <v>30.028137960000002</v>
      </c>
      <c r="F63" s="67">
        <f>Inputs!F65</f>
        <v>30.928982098799999</v>
      </c>
      <c r="G63" s="67"/>
    </row>
    <row r="64" spans="1:13" ht="14.25" hidden="1" customHeight="1" x14ac:dyDescent="0.3">
      <c r="A64" s="63" t="s">
        <v>222</v>
      </c>
      <c r="B64" s="99">
        <f>Inputs!B67</f>
        <v>336</v>
      </c>
      <c r="C64" s="99">
        <f>Inputs!C67</f>
        <v>336</v>
      </c>
      <c r="D64" s="99">
        <f>Inputs!D67</f>
        <v>336</v>
      </c>
      <c r="E64" s="99">
        <f>Inputs!E67</f>
        <v>336</v>
      </c>
      <c r="F64" s="99">
        <f>Inputs!F67</f>
        <v>336</v>
      </c>
      <c r="G64" s="99"/>
    </row>
    <row r="65" spans="1:7" ht="14.25" hidden="1" customHeight="1" x14ac:dyDescent="0.3">
      <c r="A65" s="63" t="s">
        <v>562</v>
      </c>
      <c r="B65" s="99">
        <f>Inputs!B69</f>
        <v>336</v>
      </c>
      <c r="C65" s="99">
        <f>Inputs!C69</f>
        <v>336</v>
      </c>
      <c r="D65" s="99">
        <f>Inputs!D69</f>
        <v>336</v>
      </c>
      <c r="E65" s="99">
        <f>Inputs!E69</f>
        <v>336</v>
      </c>
      <c r="F65" s="99">
        <f>Inputs!F69</f>
        <v>336</v>
      </c>
      <c r="G65" s="99"/>
    </row>
    <row r="66" spans="1:7" ht="14.25" hidden="1" customHeight="1" x14ac:dyDescent="0.3">
      <c r="A66" s="63" t="s">
        <v>563</v>
      </c>
      <c r="B66" s="99">
        <f>Inputs!B71</f>
        <v>17472</v>
      </c>
      <c r="C66" s="99">
        <f>Inputs!C71</f>
        <v>17472</v>
      </c>
      <c r="D66" s="99">
        <f>Inputs!D71</f>
        <v>17472</v>
      </c>
      <c r="E66" s="99">
        <f>Inputs!E71</f>
        <v>17472</v>
      </c>
      <c r="F66" s="99">
        <f>Inputs!F71</f>
        <v>17472</v>
      </c>
      <c r="G66" s="99"/>
    </row>
    <row r="67" spans="1:7" ht="14.25" hidden="1" customHeight="1" x14ac:dyDescent="0.3">
      <c r="A67" s="63" t="s">
        <v>564</v>
      </c>
      <c r="B67" s="99">
        <f>Inputs!B73</f>
        <v>12</v>
      </c>
      <c r="C67" s="99">
        <f>Inputs!C73</f>
        <v>12</v>
      </c>
      <c r="D67" s="99">
        <f>Inputs!D73</f>
        <v>12</v>
      </c>
      <c r="E67" s="99">
        <f>Inputs!E73</f>
        <v>12</v>
      </c>
      <c r="F67" s="99">
        <f>Inputs!F73</f>
        <v>12</v>
      </c>
      <c r="G67" s="99"/>
    </row>
    <row r="68" spans="1:7" ht="14.25" hidden="1" customHeight="1" x14ac:dyDescent="0.3">
      <c r="A68" s="63" t="s">
        <v>196</v>
      </c>
      <c r="B68" s="220" t="str">
        <f>Inputs!B64</f>
        <v>Auto</v>
      </c>
      <c r="C68" s="220" t="str">
        <f>Inputs!C64</f>
        <v>Auto</v>
      </c>
      <c r="D68" s="220" t="str">
        <f>Inputs!D64</f>
        <v>Auto</v>
      </c>
      <c r="E68" s="220" t="str">
        <f>Inputs!E64</f>
        <v>Auto</v>
      </c>
      <c r="F68" s="220" t="str">
        <f>Inputs!F64</f>
        <v>Auto</v>
      </c>
      <c r="G68" s="220"/>
    </row>
    <row r="69" spans="1:7" ht="14.25" hidden="1" customHeight="1" x14ac:dyDescent="0.25">
      <c r="A69" s="63" t="s">
        <v>565</v>
      </c>
    </row>
    <row r="70" spans="1:7" ht="14.25" customHeight="1" x14ac:dyDescent="0.25"/>
  </sheetData>
  <mergeCells count="2">
    <mergeCell ref="A1:O1"/>
    <mergeCell ref="A2:O2"/>
  </mergeCells>
  <dataValidations count="1">
    <dataValidation type="list" sqref="B3" xr:uid="{00000000-0002-0000-0D00-000000000000}">
      <formula1>"Low,Medium,High,Custom"</formula1>
      <formula2>0</formula2>
    </dataValidation>
  </dataValidations>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B7DEE8"/>
  </sheetPr>
  <dimension ref="A1:U48"/>
  <sheetViews>
    <sheetView topLeftCell="A12" zoomScaleNormal="100" workbookViewId="0">
      <selection activeCell="K59" sqref="K59"/>
    </sheetView>
  </sheetViews>
  <sheetFormatPr defaultColWidth="8.6640625" defaultRowHeight="12.75" customHeight="1" x14ac:dyDescent="0.25"/>
  <cols>
    <col min="1" max="1" width="14" customWidth="1"/>
    <col min="2" max="2" width="42" customWidth="1"/>
    <col min="3" max="3" width="11" customWidth="1"/>
    <col min="4" max="4" width="12" customWidth="1"/>
    <col min="5" max="5" width="11" customWidth="1"/>
    <col min="6" max="6" width="12" customWidth="1"/>
    <col min="7" max="7" width="11" customWidth="1"/>
    <col min="8" max="8" width="12" customWidth="1"/>
    <col min="9" max="9" width="11" customWidth="1"/>
    <col min="10" max="10" width="18" customWidth="1"/>
    <col min="11" max="11" width="24" customWidth="1"/>
    <col min="12" max="12" width="12" customWidth="1"/>
    <col min="13" max="13" width="18.5546875" customWidth="1"/>
    <col min="14" max="14" width="12" customWidth="1"/>
    <col min="15" max="15" width="15" customWidth="1"/>
    <col min="16" max="20" width="15" hidden="1" customWidth="1"/>
    <col min="21" max="21" width="15" customWidth="1"/>
  </cols>
  <sheetData>
    <row r="1" spans="1:21" ht="24" customHeight="1" x14ac:dyDescent="0.25">
      <c r="A1" s="360" t="s">
        <v>566</v>
      </c>
      <c r="B1" s="360"/>
      <c r="C1" s="360"/>
      <c r="D1" s="360"/>
      <c r="E1" s="360"/>
      <c r="F1" s="360"/>
      <c r="G1" s="360"/>
      <c r="H1" s="360"/>
      <c r="I1" s="360"/>
      <c r="J1" s="360"/>
      <c r="K1" s="360"/>
      <c r="L1" s="360"/>
      <c r="M1" s="360"/>
      <c r="N1" s="360"/>
      <c r="O1" s="360"/>
    </row>
    <row r="2" spans="1:21" ht="21.75" customHeight="1" x14ac:dyDescent="0.25">
      <c r="A2" s="387" t="s">
        <v>567</v>
      </c>
      <c r="B2" s="387"/>
      <c r="C2" s="387"/>
      <c r="D2" s="387"/>
      <c r="E2" s="387"/>
      <c r="F2" s="387"/>
      <c r="G2" s="387"/>
      <c r="H2" s="387"/>
      <c r="I2" s="387"/>
      <c r="J2" s="387"/>
      <c r="K2" s="387"/>
      <c r="L2" s="387"/>
      <c r="M2" s="387"/>
      <c r="N2" s="387"/>
      <c r="O2" s="387"/>
    </row>
    <row r="3" spans="1:21" ht="12.75" customHeight="1" x14ac:dyDescent="0.25">
      <c r="J3" s="221" t="s">
        <v>568</v>
      </c>
      <c r="K3" s="222" t="str">
        <f>'Option Year'!A52</f>
        <v>Appraisal Benchmark Driver (Rate × Annual Hours)</v>
      </c>
    </row>
    <row r="4" spans="1:21" ht="12.75" customHeight="1" x14ac:dyDescent="0.25">
      <c r="A4" s="199" t="s">
        <v>534</v>
      </c>
      <c r="B4" s="200" t="str">
        <f>'Option Year'!$B$3</f>
        <v>Medium</v>
      </c>
      <c r="D4" s="199" t="s">
        <v>538</v>
      </c>
      <c r="E4" s="200">
        <f>'Option Year'!$B$4</f>
        <v>0.03</v>
      </c>
      <c r="G4" s="199" t="s">
        <v>537</v>
      </c>
      <c r="H4" s="201">
        <f>'Option Year'!$H$3</f>
        <v>17472</v>
      </c>
      <c r="J4" s="221" t="s">
        <v>541</v>
      </c>
      <c r="K4" s="223">
        <f>'Option Year'!B52</f>
        <v>129.97639002857142</v>
      </c>
    </row>
    <row r="5" spans="1:21" ht="12.75" customHeight="1" x14ac:dyDescent="0.25">
      <c r="J5" s="221" t="s">
        <v>542</v>
      </c>
      <c r="K5" s="223">
        <f>'Option Year'!C52</f>
        <v>2270947.4865791998</v>
      </c>
    </row>
    <row r="6" spans="1:21" ht="27" customHeight="1" x14ac:dyDescent="0.25">
      <c r="A6" s="96" t="s">
        <v>569</v>
      </c>
      <c r="B6" s="96" t="s">
        <v>318</v>
      </c>
      <c r="C6" s="96" t="s">
        <v>541</v>
      </c>
      <c r="D6" s="96" t="s">
        <v>542</v>
      </c>
      <c r="E6" s="96" t="s">
        <v>543</v>
      </c>
      <c r="F6" s="96" t="s">
        <v>544</v>
      </c>
      <c r="G6" s="96" t="s">
        <v>545</v>
      </c>
      <c r="H6" s="96" t="s">
        <v>546</v>
      </c>
      <c r="I6" s="96" t="s">
        <v>547</v>
      </c>
      <c r="J6" s="224" t="s">
        <v>548</v>
      </c>
      <c r="K6" s="225" t="s">
        <v>549</v>
      </c>
      <c r="L6" s="96" t="s">
        <v>550</v>
      </c>
      <c r="M6" s="96" t="s">
        <v>570</v>
      </c>
      <c r="N6" s="96" t="s">
        <v>571</v>
      </c>
      <c r="O6" s="96" t="s">
        <v>572</v>
      </c>
      <c r="P6" t="s">
        <v>573</v>
      </c>
      <c r="Q6" t="s">
        <v>574</v>
      </c>
      <c r="R6" t="s">
        <v>575</v>
      </c>
      <c r="S6" t="s">
        <v>576</v>
      </c>
      <c r="T6" t="s">
        <v>577</v>
      </c>
    </row>
    <row r="7" spans="1:21" ht="13.5" customHeight="1" x14ac:dyDescent="0.3">
      <c r="A7" s="226" t="s">
        <v>578</v>
      </c>
      <c r="B7" s="227" t="str">
        <f>'Option Year'!A8</f>
        <v>Base Consolidated Blended Direct Labor Wage</v>
      </c>
      <c r="C7" s="228">
        <f>'Option Year'!B8</f>
        <v>33.74</v>
      </c>
      <c r="D7" s="229">
        <f>'Option Year'!C8</f>
        <v>589505.28000000003</v>
      </c>
      <c r="E7" s="206">
        <f>'Option Year'!D8</f>
        <v>34.752200000000002</v>
      </c>
      <c r="F7" s="229">
        <f>'Option Year'!E8</f>
        <v>607190.43839999998</v>
      </c>
      <c r="G7" s="206">
        <f>'Option Year'!F8</f>
        <v>35.794766000000003</v>
      </c>
      <c r="H7" s="229">
        <f>'Option Year'!G8</f>
        <v>625406.15155200008</v>
      </c>
      <c r="I7" s="206">
        <f>'Option Year'!H8</f>
        <v>36.868608980000005</v>
      </c>
      <c r="J7" s="229">
        <f>'Option Year'!I8</f>
        <v>644168.33609856013</v>
      </c>
      <c r="K7" s="206">
        <f>'Option Year'!J8</f>
        <v>37.974667249399999</v>
      </c>
      <c r="L7" s="229">
        <f>'Option Year'!K8</f>
        <v>663493.38618151681</v>
      </c>
      <c r="M7" s="206">
        <f>'Option Year'!L8</f>
        <v>3129763.5922320774</v>
      </c>
      <c r="N7" s="229">
        <f>'Option Year'!M8</f>
        <v>35.826048445880005</v>
      </c>
      <c r="O7" s="229">
        <f t="shared" ref="O7:O47" si="0">IFERROR(D7/$D$45*D$47,0)</f>
        <v>292066.93088969222</v>
      </c>
      <c r="P7" s="230">
        <f t="shared" ref="P7:P47" si="1">IFERROR(F7/$F$45*F$47,0)</f>
        <v>300828.93881638296</v>
      </c>
      <c r="Q7" s="230">
        <f t="shared" ref="Q7:Q47" si="2">IFERROR(H7/$H$45*H$47,0)</f>
        <v>309853.80698087445</v>
      </c>
      <c r="R7" s="230">
        <f t="shared" ref="R7:R47" si="3">IFERROR(J7/$J$45*J$47,0)</f>
        <v>319149.42119030084</v>
      </c>
      <c r="S7" s="230">
        <f t="shared" ref="S7:S47" si="4">IFERROR(L7/$L$45*L$47,0)</f>
        <v>328723.90382600977</v>
      </c>
      <c r="T7" s="230">
        <f t="shared" ref="T7:T47" si="5">SUM(O7:S7)</f>
        <v>1550623.0017032602</v>
      </c>
      <c r="U7" s="230"/>
    </row>
    <row r="8" spans="1:21" ht="13.5" customHeight="1" x14ac:dyDescent="0.3">
      <c r="A8" s="226" t="s">
        <v>579</v>
      </c>
      <c r="B8" s="205" t="str">
        <f>'Option Year'!A9</f>
        <v xml:space="preserve">Locality Pay </v>
      </c>
      <c r="C8" s="206">
        <f>'Option Year'!B9</f>
        <v>0</v>
      </c>
      <c r="D8" s="229">
        <f>'Option Year'!C9</f>
        <v>0</v>
      </c>
      <c r="E8" s="206" t="str">
        <f>'Option Year'!D9</f>
        <v/>
      </c>
      <c r="F8" s="229" t="str">
        <f>'Option Year'!E9</f>
        <v/>
      </c>
      <c r="G8" s="206" t="str">
        <f>'Option Year'!F9</f>
        <v/>
      </c>
      <c r="H8" s="229" t="str">
        <f>'Option Year'!G9</f>
        <v/>
      </c>
      <c r="I8" s="206" t="str">
        <f>'Option Year'!H9</f>
        <v/>
      </c>
      <c r="J8" s="229" t="str">
        <f>'Option Year'!I9</f>
        <v/>
      </c>
      <c r="K8" s="206" t="str">
        <f>'Option Year'!J9</f>
        <v/>
      </c>
      <c r="L8" s="229" t="str">
        <f>'Option Year'!K9</f>
        <v/>
      </c>
      <c r="M8" s="206">
        <f>'Option Year'!L9</f>
        <v>0</v>
      </c>
      <c r="N8" s="229">
        <f>'Option Year'!M9</f>
        <v>0</v>
      </c>
      <c r="O8" s="229">
        <f t="shared" si="0"/>
        <v>0</v>
      </c>
      <c r="P8" s="230">
        <f t="shared" si="1"/>
        <v>0</v>
      </c>
      <c r="Q8" s="230">
        <f t="shared" si="2"/>
        <v>0</v>
      </c>
      <c r="R8" s="230">
        <f t="shared" si="3"/>
        <v>0</v>
      </c>
      <c r="S8" s="230">
        <f t="shared" si="4"/>
        <v>0</v>
      </c>
      <c r="T8" s="230">
        <f t="shared" si="5"/>
        <v>0</v>
      </c>
      <c r="U8" s="230"/>
    </row>
    <row r="9" spans="1:21" ht="13.5" customHeight="1" x14ac:dyDescent="0.3">
      <c r="A9" s="226" t="s">
        <v>580</v>
      </c>
      <c r="B9" s="205" t="str">
        <f>'Option Year'!A10</f>
        <v>Labor Market Adjustment</v>
      </c>
      <c r="C9" s="206">
        <f>'Option Year'!B10</f>
        <v>0</v>
      </c>
      <c r="D9" s="229">
        <f>'Option Year'!C10</f>
        <v>0</v>
      </c>
      <c r="E9" s="206" t="str">
        <f>'Option Year'!D10</f>
        <v/>
      </c>
      <c r="F9" s="229" t="str">
        <f>'Option Year'!E10</f>
        <v/>
      </c>
      <c r="G9" s="206" t="str">
        <f>'Option Year'!F10</f>
        <v/>
      </c>
      <c r="H9" s="229" t="str">
        <f>'Option Year'!G10</f>
        <v/>
      </c>
      <c r="I9" s="206" t="str">
        <f>'Option Year'!H10</f>
        <v/>
      </c>
      <c r="J9" s="229" t="str">
        <f>'Option Year'!I10</f>
        <v/>
      </c>
      <c r="K9" s="206" t="str">
        <f>'Option Year'!J10</f>
        <v/>
      </c>
      <c r="L9" s="229" t="str">
        <f>'Option Year'!K10</f>
        <v/>
      </c>
      <c r="M9" s="206">
        <f>'Option Year'!L10</f>
        <v>0</v>
      </c>
      <c r="N9" s="229">
        <f>'Option Year'!M10</f>
        <v>0</v>
      </c>
      <c r="O9" s="229">
        <f t="shared" si="0"/>
        <v>0</v>
      </c>
      <c r="P9" s="230">
        <f t="shared" si="1"/>
        <v>0</v>
      </c>
      <c r="Q9" s="230">
        <f t="shared" si="2"/>
        <v>0</v>
      </c>
      <c r="R9" s="230">
        <f t="shared" si="3"/>
        <v>0</v>
      </c>
      <c r="S9" s="230">
        <f t="shared" si="4"/>
        <v>0</v>
      </c>
      <c r="T9" s="230">
        <f t="shared" si="5"/>
        <v>0</v>
      </c>
      <c r="U9" s="230"/>
    </row>
    <row r="10" spans="1:21" ht="13.5" customHeight="1" x14ac:dyDescent="0.3">
      <c r="A10" s="226" t="s">
        <v>581</v>
      </c>
      <c r="B10" s="205" t="str">
        <f>'Option Year'!A11</f>
        <v>H&amp;W (Cash)</v>
      </c>
      <c r="C10" s="206">
        <f>'Option Year'!B11</f>
        <v>4.22</v>
      </c>
      <c r="D10" s="229">
        <f>'Option Year'!C11</f>
        <v>73731.839999999997</v>
      </c>
      <c r="E10" s="206">
        <f>'Option Year'!D11</f>
        <v>4.3465999999999996</v>
      </c>
      <c r="F10" s="229">
        <f>'Option Year'!E11</f>
        <v>75943.795199999993</v>
      </c>
      <c r="G10" s="206">
        <f>'Option Year'!F11</f>
        <v>4.4769979999999991</v>
      </c>
      <c r="H10" s="229">
        <f>'Option Year'!G11</f>
        <v>78222.109055999987</v>
      </c>
      <c r="I10" s="206">
        <f>'Option Year'!H11</f>
        <v>4.6113079399999997</v>
      </c>
      <c r="J10" s="229">
        <f>'Option Year'!I11</f>
        <v>80568.772327679995</v>
      </c>
      <c r="K10" s="206">
        <f>'Option Year'!J11</f>
        <v>4.7496471781999992</v>
      </c>
      <c r="L10" s="229">
        <f>'Option Year'!K11</f>
        <v>82985.835497510387</v>
      </c>
      <c r="M10" s="206">
        <f>'Option Year'!L11</f>
        <v>391452.35208119033</v>
      </c>
      <c r="N10" s="229">
        <f>'Option Year'!M11</f>
        <v>4.4809106236399998</v>
      </c>
      <c r="O10" s="229">
        <f t="shared" si="0"/>
        <v>36530.007360832868</v>
      </c>
      <c r="P10" s="230">
        <f t="shared" si="1"/>
        <v>37625.907581657848</v>
      </c>
      <c r="Q10" s="230">
        <f t="shared" si="2"/>
        <v>38754.684809107581</v>
      </c>
      <c r="R10" s="230">
        <f t="shared" si="3"/>
        <v>39917.325353380824</v>
      </c>
      <c r="S10" s="230">
        <f t="shared" si="4"/>
        <v>41114.845113982243</v>
      </c>
      <c r="T10" s="230">
        <f t="shared" si="5"/>
        <v>193942.77021896138</v>
      </c>
      <c r="U10" s="230"/>
    </row>
    <row r="11" spans="1:21" ht="13.5" customHeight="1" x14ac:dyDescent="0.3">
      <c r="A11" s="226" t="s">
        <v>582</v>
      </c>
      <c r="B11" s="205" t="str">
        <f>'Option Year'!A12</f>
        <v>Shift Differential</v>
      </c>
      <c r="C11" s="206">
        <f>'Option Year'!B12</f>
        <v>0</v>
      </c>
      <c r="D11" s="229">
        <f>'Option Year'!C12</f>
        <v>0</v>
      </c>
      <c r="E11" s="206" t="str">
        <f>'Option Year'!D12</f>
        <v/>
      </c>
      <c r="F11" s="229" t="str">
        <f>'Option Year'!E12</f>
        <v/>
      </c>
      <c r="G11" s="206" t="str">
        <f>'Option Year'!F12</f>
        <v/>
      </c>
      <c r="H11" s="229" t="str">
        <f>'Option Year'!G12</f>
        <v/>
      </c>
      <c r="I11" s="206" t="str">
        <f>'Option Year'!H12</f>
        <v/>
      </c>
      <c r="J11" s="229" t="str">
        <f>'Option Year'!I12</f>
        <v/>
      </c>
      <c r="K11" s="206" t="str">
        <f>'Option Year'!J12</f>
        <v/>
      </c>
      <c r="L11" s="229" t="str">
        <f>'Option Year'!K12</f>
        <v/>
      </c>
      <c r="M11" s="206">
        <f>'Option Year'!L12</f>
        <v>0</v>
      </c>
      <c r="N11" s="229">
        <f>'Option Year'!M12</f>
        <v>0</v>
      </c>
      <c r="O11" s="229">
        <f t="shared" si="0"/>
        <v>0</v>
      </c>
      <c r="P11" s="230">
        <f t="shared" si="1"/>
        <v>0</v>
      </c>
      <c r="Q11" s="230">
        <f t="shared" si="2"/>
        <v>0</v>
      </c>
      <c r="R11" s="230">
        <f t="shared" si="3"/>
        <v>0</v>
      </c>
      <c r="S11" s="230">
        <f t="shared" si="4"/>
        <v>0</v>
      </c>
      <c r="T11" s="230">
        <f t="shared" si="5"/>
        <v>0</v>
      </c>
      <c r="U11" s="230"/>
    </row>
    <row r="12" spans="1:21" ht="13.5" customHeight="1" x14ac:dyDescent="0.3">
      <c r="A12" s="226" t="s">
        <v>583</v>
      </c>
      <c r="B12" s="205" t="str">
        <f>'Option Year'!A13</f>
        <v>OT/Holiday Premium</v>
      </c>
      <c r="C12" s="206">
        <f>'Option Year'!B13</f>
        <v>2.6992000000000003</v>
      </c>
      <c r="D12" s="229">
        <f>'Option Year'!C13</f>
        <v>47160.422400000003</v>
      </c>
      <c r="E12" s="206">
        <f>'Option Year'!D13</f>
        <v>2.7801760000000004</v>
      </c>
      <c r="F12" s="229">
        <f>'Option Year'!E13</f>
        <v>48575.23507200001</v>
      </c>
      <c r="G12" s="206">
        <f>'Option Year'!F13</f>
        <v>2.86358128</v>
      </c>
      <c r="H12" s="229">
        <f>'Option Year'!G13</f>
        <v>50032.492124160002</v>
      </c>
      <c r="I12" s="206">
        <f>'Option Year'!H13</f>
        <v>2.9494887184000005</v>
      </c>
      <c r="J12" s="229">
        <f>'Option Year'!I13</f>
        <v>51533.46688788481</v>
      </c>
      <c r="K12" s="206">
        <f>'Option Year'!J13</f>
        <v>3.0379733799520001</v>
      </c>
      <c r="L12" s="229">
        <f>'Option Year'!K13</f>
        <v>53079.47089452135</v>
      </c>
      <c r="M12" s="206">
        <f>'Option Year'!L13</f>
        <v>250381.08737856615</v>
      </c>
      <c r="N12" s="229">
        <f>'Option Year'!M13</f>
        <v>2.8660838756704003</v>
      </c>
      <c r="O12" s="229">
        <f t="shared" si="0"/>
        <v>23365.354471175375</v>
      </c>
      <c r="P12" s="230">
        <f t="shared" si="1"/>
        <v>24066.315105310638</v>
      </c>
      <c r="Q12" s="230">
        <f t="shared" si="2"/>
        <v>24788.304558469954</v>
      </c>
      <c r="R12" s="230">
        <f t="shared" si="3"/>
        <v>25531.953695224063</v>
      </c>
      <c r="S12" s="230">
        <f t="shared" si="4"/>
        <v>26297.912306080783</v>
      </c>
      <c r="T12" s="230">
        <f t="shared" si="5"/>
        <v>124049.84013626081</v>
      </c>
      <c r="U12" s="230"/>
    </row>
    <row r="13" spans="1:21" ht="13.5" customHeight="1" x14ac:dyDescent="0.3">
      <c r="A13" s="226" t="s">
        <v>584</v>
      </c>
      <c r="B13" s="205" t="str">
        <f>'Option Year'!A14</f>
        <v>DON/DOFF</v>
      </c>
      <c r="C13" s="206">
        <f>'Option Year'!B14</f>
        <v>1.2706</v>
      </c>
      <c r="D13" s="229">
        <f>'Option Year'!C14</f>
        <v>22199.923199999997</v>
      </c>
      <c r="E13" s="206">
        <f>'Option Year'!D14</f>
        <v>1.308718</v>
      </c>
      <c r="F13" s="229">
        <f>'Option Year'!E14</f>
        <v>22865.920896</v>
      </c>
      <c r="G13" s="206">
        <f>'Option Year'!F14</f>
        <v>1.3479795399999999</v>
      </c>
      <c r="H13" s="229">
        <f>'Option Year'!G14</f>
        <v>23551.898522879997</v>
      </c>
      <c r="I13" s="206">
        <f>'Option Year'!H14</f>
        <v>1.3884189262</v>
      </c>
      <c r="J13" s="229">
        <f>'Option Year'!I14</f>
        <v>24258.4554785664</v>
      </c>
      <c r="K13" s="206">
        <f>'Option Year'!J14</f>
        <v>1.4300714939859998</v>
      </c>
      <c r="L13" s="229">
        <f>'Option Year'!K14</f>
        <v>24986.209142923388</v>
      </c>
      <c r="M13" s="206">
        <f>'Option Year'!L14</f>
        <v>117862.40724036979</v>
      </c>
      <c r="N13" s="229">
        <f>'Option Year'!M14</f>
        <v>1.3491575920371999</v>
      </c>
      <c r="O13" s="229">
        <f t="shared" si="0"/>
        <v>10998.821647553137</v>
      </c>
      <c r="P13" s="230">
        <f t="shared" si="1"/>
        <v>11328.786296979732</v>
      </c>
      <c r="Q13" s="230">
        <f t="shared" si="2"/>
        <v>11668.649885889123</v>
      </c>
      <c r="R13" s="230">
        <f t="shared" si="3"/>
        <v>12018.7093824658</v>
      </c>
      <c r="S13" s="230">
        <f t="shared" si="4"/>
        <v>12379.270663939773</v>
      </c>
      <c r="T13" s="230">
        <f t="shared" si="5"/>
        <v>58394.237876827567</v>
      </c>
      <c r="U13" s="230"/>
    </row>
    <row r="14" spans="1:21" ht="13.5" customHeight="1" x14ac:dyDescent="0.3">
      <c r="A14" s="226" t="s">
        <v>585</v>
      </c>
      <c r="B14" s="227" t="str">
        <f>'Option Year'!A15</f>
        <v>Total Direct Labor</v>
      </c>
      <c r="C14" s="228">
        <f>'Option Year'!B15</f>
        <v>41.9298</v>
      </c>
      <c r="D14" s="229">
        <f>'Option Year'!C15</f>
        <v>732597.4656</v>
      </c>
      <c r="E14" s="206">
        <f>'Option Year'!D15</f>
        <v>43.187694</v>
      </c>
      <c r="F14" s="229">
        <f>'Option Year'!E15</f>
        <v>754575.38956799998</v>
      </c>
      <c r="G14" s="206">
        <f>'Option Year'!F15</f>
        <v>44.48332482</v>
      </c>
      <c r="H14" s="229">
        <f>'Option Year'!G15</f>
        <v>777212.65125503996</v>
      </c>
      <c r="I14" s="206">
        <f>'Option Year'!H15</f>
        <v>45.817824564600002</v>
      </c>
      <c r="J14" s="229">
        <f>'Option Year'!I15</f>
        <v>800529.03079269128</v>
      </c>
      <c r="K14" s="206">
        <f>'Option Year'!J15</f>
        <v>47.192359301537998</v>
      </c>
      <c r="L14" s="229">
        <f>'Option Year'!K15</f>
        <v>824544.90171647188</v>
      </c>
      <c r="M14" s="206">
        <f>'Option Year'!L15</f>
        <v>3889459.4389322028</v>
      </c>
      <c r="N14" s="229">
        <f>'Option Year'!M15</f>
        <v>44.522200537227597</v>
      </c>
      <c r="O14" s="229">
        <f t="shared" si="0"/>
        <v>362961.11436925357</v>
      </c>
      <c r="P14" s="230">
        <f t="shared" si="1"/>
        <v>373849.94780033117</v>
      </c>
      <c r="Q14" s="230">
        <f t="shared" si="2"/>
        <v>385065.44623434107</v>
      </c>
      <c r="R14" s="230">
        <f t="shared" si="3"/>
        <v>396617.40962137142</v>
      </c>
      <c r="S14" s="230">
        <f t="shared" si="4"/>
        <v>408515.9319100125</v>
      </c>
      <c r="T14" s="230">
        <f t="shared" si="5"/>
        <v>1927009.8499353095</v>
      </c>
      <c r="U14" s="230"/>
    </row>
    <row r="15" spans="1:21" ht="13.5" customHeight="1" x14ac:dyDescent="0.3">
      <c r="A15" s="226" t="s">
        <v>586</v>
      </c>
      <c r="B15" s="205" t="str">
        <f>'Option Year'!A17</f>
        <v>FICA / Medicare</v>
      </c>
      <c r="C15" s="206">
        <f>'Option Year'!B17</f>
        <v>3.2076297</v>
      </c>
      <c r="D15" s="229">
        <f>'Option Year'!C17</f>
        <v>56043.706118399998</v>
      </c>
      <c r="E15" s="206">
        <f>'Option Year'!D17</f>
        <v>3.303858591</v>
      </c>
      <c r="F15" s="229">
        <f>'Option Year'!E17</f>
        <v>57725.017301952001</v>
      </c>
      <c r="G15" s="206">
        <f>'Option Year'!F17</f>
        <v>3.4029743487299999</v>
      </c>
      <c r="H15" s="229">
        <f>'Option Year'!G17</f>
        <v>59456.767821010559</v>
      </c>
      <c r="I15" s="206">
        <f>'Option Year'!H17</f>
        <v>3.5050635791919</v>
      </c>
      <c r="J15" s="229">
        <f>'Option Year'!I17</f>
        <v>61240.47085564088</v>
      </c>
      <c r="K15" s="206">
        <f>'Option Year'!J17</f>
        <v>3.6102154865676566</v>
      </c>
      <c r="L15" s="229">
        <f>'Option Year'!K17</f>
        <v>63077.684981310093</v>
      </c>
      <c r="M15" s="206">
        <f>'Option Year'!L17</f>
        <v>297543.64707831352</v>
      </c>
      <c r="N15" s="229">
        <f>'Option Year'!M17</f>
        <v>3.4059483410979112</v>
      </c>
      <c r="O15" s="229">
        <f t="shared" si="0"/>
        <v>27766.525249247898</v>
      </c>
      <c r="P15" s="230">
        <f t="shared" si="1"/>
        <v>28599.521006725336</v>
      </c>
      <c r="Q15" s="230">
        <f t="shared" si="2"/>
        <v>29457.50663692709</v>
      </c>
      <c r="R15" s="230">
        <f t="shared" si="3"/>
        <v>30341.231836034916</v>
      </c>
      <c r="S15" s="230">
        <f t="shared" si="4"/>
        <v>31251.468791115953</v>
      </c>
      <c r="T15" s="230">
        <f t="shared" si="5"/>
        <v>147416.25352005119</v>
      </c>
      <c r="U15" s="230"/>
    </row>
    <row r="16" spans="1:21" ht="13.5" customHeight="1" x14ac:dyDescent="0.3">
      <c r="A16" s="226" t="s">
        <v>587</v>
      </c>
      <c r="B16" s="205" t="str">
        <f>'Option Year'!A18</f>
        <v>FUTA</v>
      </c>
      <c r="C16" s="206">
        <f>'Option Year'!B18</f>
        <v>0.25157879999999999</v>
      </c>
      <c r="D16" s="229">
        <f>'Option Year'!C18</f>
        <v>4395.5847936</v>
      </c>
      <c r="E16" s="206">
        <f>'Option Year'!D18</f>
        <v>0.25912616399999999</v>
      </c>
      <c r="F16" s="229">
        <f>'Option Year'!E18</f>
        <v>4527.4523374079999</v>
      </c>
      <c r="G16" s="206">
        <f>'Option Year'!F18</f>
        <v>0.26689994891999996</v>
      </c>
      <c r="H16" s="229">
        <f>'Option Year'!G18</f>
        <v>4663.2759075302392</v>
      </c>
      <c r="I16" s="206">
        <f>'Option Year'!H18</f>
        <v>0.27490694738759996</v>
      </c>
      <c r="J16" s="229">
        <f>'Option Year'!I18</f>
        <v>4803.1741847561461</v>
      </c>
      <c r="K16" s="206">
        <f>'Option Year'!J18</f>
        <v>0.28315415580922798</v>
      </c>
      <c r="L16" s="229">
        <f>'Option Year'!K18</f>
        <v>4947.2694102988316</v>
      </c>
      <c r="M16" s="206">
        <f>'Option Year'!L18</f>
        <v>23336.756633593217</v>
      </c>
      <c r="N16" s="229">
        <f>'Option Year'!M18</f>
        <v>0.26713320322336565</v>
      </c>
      <c r="O16" s="229">
        <f t="shared" si="0"/>
        <v>2177.7666862155215</v>
      </c>
      <c r="P16" s="230">
        <f t="shared" si="1"/>
        <v>2243.099686801987</v>
      </c>
      <c r="Q16" s="230">
        <f t="shared" si="2"/>
        <v>2310.392677406046</v>
      </c>
      <c r="R16" s="230">
        <f t="shared" si="3"/>
        <v>2379.7044577282281</v>
      </c>
      <c r="S16" s="230">
        <f t="shared" si="4"/>
        <v>2451.0955914600754</v>
      </c>
      <c r="T16" s="230">
        <f t="shared" si="5"/>
        <v>11562.059099611859</v>
      </c>
      <c r="U16" s="230"/>
    </row>
    <row r="17" spans="1:21" ht="13.5" customHeight="1" x14ac:dyDescent="0.3">
      <c r="A17" s="226" t="s">
        <v>588</v>
      </c>
      <c r="B17" s="205" t="str">
        <f>'Option Year'!A19</f>
        <v>SUTA</v>
      </c>
      <c r="C17" s="206">
        <f>'Option Year'!B19</f>
        <v>0.83859600000000001</v>
      </c>
      <c r="D17" s="229">
        <f>'Option Year'!C19</f>
        <v>14651.949312000001</v>
      </c>
      <c r="E17" s="206">
        <f>'Option Year'!D19</f>
        <v>0.86375388000000008</v>
      </c>
      <c r="F17" s="229">
        <f>'Option Year'!E19</f>
        <v>15091.507791360002</v>
      </c>
      <c r="G17" s="206">
        <f>'Option Year'!F19</f>
        <v>0.88966649639999995</v>
      </c>
      <c r="H17" s="229">
        <f>'Option Year'!G19</f>
        <v>15544.253025100799</v>
      </c>
      <c r="I17" s="206">
        <f>'Option Year'!H19</f>
        <v>0.91635649129200003</v>
      </c>
      <c r="J17" s="229">
        <f>'Option Year'!I19</f>
        <v>16010.580615853825</v>
      </c>
      <c r="K17" s="206">
        <f>'Option Year'!J19</f>
        <v>0.9438471860307599</v>
      </c>
      <c r="L17" s="229">
        <f>'Option Year'!K19</f>
        <v>16490.898034329435</v>
      </c>
      <c r="M17" s="206">
        <f>'Option Year'!L19</f>
        <v>77789.188778644064</v>
      </c>
      <c r="N17" s="229">
        <f>'Option Year'!M19</f>
        <v>0.89044401074455204</v>
      </c>
      <c r="O17" s="229">
        <f t="shared" si="0"/>
        <v>7259.2222873850715</v>
      </c>
      <c r="P17" s="230">
        <f t="shared" si="1"/>
        <v>7476.9989560066242</v>
      </c>
      <c r="Q17" s="230">
        <f t="shared" si="2"/>
        <v>7701.3089246868212</v>
      </c>
      <c r="R17" s="230">
        <f t="shared" si="3"/>
        <v>7932.3481924274283</v>
      </c>
      <c r="S17" s="230">
        <f t="shared" si="4"/>
        <v>8170.3186382002496</v>
      </c>
      <c r="T17" s="230">
        <f t="shared" si="5"/>
        <v>38540.196998706189</v>
      </c>
      <c r="U17" s="230"/>
    </row>
    <row r="18" spans="1:21" ht="13.5" customHeight="1" x14ac:dyDescent="0.3">
      <c r="A18" s="226" t="s">
        <v>589</v>
      </c>
      <c r="B18" s="205" t="str">
        <f>'Option Year'!A20</f>
        <v>Workers Compensation</v>
      </c>
      <c r="C18" s="206">
        <f>'Option Year'!B20</f>
        <v>0.67087680000000005</v>
      </c>
      <c r="D18" s="229">
        <f>'Option Year'!C20</f>
        <v>11721.559449600001</v>
      </c>
      <c r="E18" s="206">
        <f>'Option Year'!D20</f>
        <v>0.69100310400000009</v>
      </c>
      <c r="F18" s="229">
        <f>'Option Year'!E20</f>
        <v>12073.206233088002</v>
      </c>
      <c r="G18" s="206">
        <f>'Option Year'!F20</f>
        <v>0.71173319712000005</v>
      </c>
      <c r="H18" s="229">
        <f>'Option Year'!G20</f>
        <v>12435.402420080642</v>
      </c>
      <c r="I18" s="206">
        <f>'Option Year'!H20</f>
        <v>0.73308519303360009</v>
      </c>
      <c r="J18" s="229">
        <f>'Option Year'!I20</f>
        <v>12808.464492683061</v>
      </c>
      <c r="K18" s="206">
        <f>'Option Year'!J20</f>
        <v>0.75507774882460799</v>
      </c>
      <c r="L18" s="229">
        <f>'Option Year'!K20</f>
        <v>13192.718427463551</v>
      </c>
      <c r="M18" s="206">
        <f>'Option Year'!L20</f>
        <v>62231.351022915253</v>
      </c>
      <c r="N18" s="229">
        <f>'Option Year'!M20</f>
        <v>0.71235520859564172</v>
      </c>
      <c r="O18" s="229">
        <f t="shared" si="0"/>
        <v>5807.3778299080577</v>
      </c>
      <c r="P18" s="230">
        <f t="shared" si="1"/>
        <v>5981.5991648052996</v>
      </c>
      <c r="Q18" s="230">
        <f t="shared" si="2"/>
        <v>6161.0471397494575</v>
      </c>
      <c r="R18" s="230">
        <f t="shared" si="3"/>
        <v>6345.8785539419432</v>
      </c>
      <c r="S18" s="230">
        <f t="shared" si="4"/>
        <v>6536.2549105602011</v>
      </c>
      <c r="T18" s="230">
        <f t="shared" si="5"/>
        <v>30832.157598964961</v>
      </c>
      <c r="U18" s="230"/>
    </row>
    <row r="19" spans="1:21" ht="13.5" customHeight="1" x14ac:dyDescent="0.3">
      <c r="A19" s="226" t="s">
        <v>590</v>
      </c>
      <c r="B19" s="205" t="str">
        <f>'Option Year'!A21</f>
        <v>Health &amp; Welfare</v>
      </c>
      <c r="C19" s="206">
        <f>'Option Year'!B21</f>
        <v>0</v>
      </c>
      <c r="D19" s="229">
        <f>'Option Year'!C21</f>
        <v>0</v>
      </c>
      <c r="E19" s="206" t="str">
        <f>'Option Year'!D21</f>
        <v/>
      </c>
      <c r="F19" s="229" t="str">
        <f>'Option Year'!E21</f>
        <v/>
      </c>
      <c r="G19" s="206" t="str">
        <f>'Option Year'!F21</f>
        <v/>
      </c>
      <c r="H19" s="229" t="str">
        <f>'Option Year'!G21</f>
        <v/>
      </c>
      <c r="I19" s="206" t="str">
        <f>'Option Year'!H21</f>
        <v/>
      </c>
      <c r="J19" s="229" t="str">
        <f>'Option Year'!I21</f>
        <v/>
      </c>
      <c r="K19" s="206" t="str">
        <f>'Option Year'!J21</f>
        <v/>
      </c>
      <c r="L19" s="229" t="str">
        <f>'Option Year'!K21</f>
        <v/>
      </c>
      <c r="M19" s="206">
        <f>'Option Year'!L21</f>
        <v>0</v>
      </c>
      <c r="N19" s="229">
        <f>'Option Year'!M21</f>
        <v>0</v>
      </c>
      <c r="O19" s="229">
        <f t="shared" si="0"/>
        <v>0</v>
      </c>
      <c r="P19" s="230">
        <f t="shared" si="1"/>
        <v>0</v>
      </c>
      <c r="Q19" s="230">
        <f t="shared" si="2"/>
        <v>0</v>
      </c>
      <c r="R19" s="230">
        <f t="shared" si="3"/>
        <v>0</v>
      </c>
      <c r="S19" s="230">
        <f t="shared" si="4"/>
        <v>0</v>
      </c>
      <c r="T19" s="230">
        <f t="shared" si="5"/>
        <v>0</v>
      </c>
      <c r="U19" s="230"/>
    </row>
    <row r="20" spans="1:21" ht="13.5" customHeight="1" x14ac:dyDescent="0.3">
      <c r="A20" s="226" t="s">
        <v>591</v>
      </c>
      <c r="B20" s="205" t="str">
        <f>'Option Year'!A22</f>
        <v>Vacation</v>
      </c>
      <c r="C20" s="206">
        <f>'Option Year'!B22</f>
        <v>0.83859600000000001</v>
      </c>
      <c r="D20" s="229">
        <f>'Option Year'!C22</f>
        <v>14651.949312000001</v>
      </c>
      <c r="E20" s="206">
        <f>'Option Year'!D22</f>
        <v>0.86375388000000008</v>
      </c>
      <c r="F20" s="229">
        <f>'Option Year'!E22</f>
        <v>15091.507791360002</v>
      </c>
      <c r="G20" s="206">
        <f>'Option Year'!F22</f>
        <v>0.88966649639999995</v>
      </c>
      <c r="H20" s="229">
        <f>'Option Year'!G22</f>
        <v>15544.253025100799</v>
      </c>
      <c r="I20" s="206">
        <f>'Option Year'!H22</f>
        <v>0.91635649129200003</v>
      </c>
      <c r="J20" s="229">
        <f>'Option Year'!I22</f>
        <v>16010.580615853825</v>
      </c>
      <c r="K20" s="206">
        <f>'Option Year'!J22</f>
        <v>0.9438471860307599</v>
      </c>
      <c r="L20" s="229">
        <f>'Option Year'!K22</f>
        <v>16490.898034329435</v>
      </c>
      <c r="M20" s="206">
        <f>'Option Year'!L22</f>
        <v>77789.188778644064</v>
      </c>
      <c r="N20" s="229">
        <f>'Option Year'!M22</f>
        <v>0.89044401074455204</v>
      </c>
      <c r="O20" s="229">
        <f t="shared" si="0"/>
        <v>7259.2222873850715</v>
      </c>
      <c r="P20" s="230">
        <f t="shared" si="1"/>
        <v>7476.9989560066242</v>
      </c>
      <c r="Q20" s="230">
        <f t="shared" si="2"/>
        <v>7701.3089246868212</v>
      </c>
      <c r="R20" s="230">
        <f t="shared" si="3"/>
        <v>7932.3481924274283</v>
      </c>
      <c r="S20" s="230">
        <f t="shared" si="4"/>
        <v>8170.3186382002496</v>
      </c>
      <c r="T20" s="230">
        <f t="shared" si="5"/>
        <v>38540.196998706189</v>
      </c>
      <c r="U20" s="230"/>
    </row>
    <row r="21" spans="1:21" ht="13.5" customHeight="1" x14ac:dyDescent="0.3">
      <c r="A21" s="226" t="s">
        <v>592</v>
      </c>
      <c r="B21" s="205" t="str">
        <f>'Option Year'!A23</f>
        <v>Paid Holidays</v>
      </c>
      <c r="C21" s="206">
        <f>'Option Year'!B23</f>
        <v>1.677192</v>
      </c>
      <c r="D21" s="229">
        <f>'Option Year'!C23</f>
        <v>29303.898624000001</v>
      </c>
      <c r="E21" s="206">
        <f>'Option Year'!D23</f>
        <v>1.7275077600000002</v>
      </c>
      <c r="F21" s="229">
        <f>'Option Year'!E23</f>
        <v>30183.015582720003</v>
      </c>
      <c r="G21" s="206">
        <f>'Option Year'!F23</f>
        <v>1.7793329927999999</v>
      </c>
      <c r="H21" s="229">
        <f>'Option Year'!G23</f>
        <v>31088.506050201599</v>
      </c>
      <c r="I21" s="206">
        <f>'Option Year'!H23</f>
        <v>1.8327129825840001</v>
      </c>
      <c r="J21" s="229">
        <f>'Option Year'!I23</f>
        <v>32021.161231707651</v>
      </c>
      <c r="K21" s="206">
        <f>'Option Year'!J23</f>
        <v>1.8876943720615198</v>
      </c>
      <c r="L21" s="229">
        <f>'Option Year'!K23</f>
        <v>32981.79606865887</v>
      </c>
      <c r="M21" s="206">
        <f>'Option Year'!L23</f>
        <v>155578.37755728813</v>
      </c>
      <c r="N21" s="229">
        <f>'Option Year'!M23</f>
        <v>1.7808880214891041</v>
      </c>
      <c r="O21" s="229">
        <f t="shared" si="0"/>
        <v>14518.444574770143</v>
      </c>
      <c r="P21" s="230">
        <f t="shared" si="1"/>
        <v>14953.997912013248</v>
      </c>
      <c r="Q21" s="230">
        <f t="shared" si="2"/>
        <v>15402.617849373642</v>
      </c>
      <c r="R21" s="230">
        <f t="shared" si="3"/>
        <v>15864.696384854857</v>
      </c>
      <c r="S21" s="230">
        <f t="shared" si="4"/>
        <v>16340.637276400499</v>
      </c>
      <c r="T21" s="230">
        <f t="shared" si="5"/>
        <v>77080.393997412379</v>
      </c>
      <c r="U21" s="230"/>
    </row>
    <row r="22" spans="1:21" ht="13.5" customHeight="1" x14ac:dyDescent="0.3">
      <c r="A22" s="226" t="s">
        <v>593</v>
      </c>
      <c r="B22" s="205" t="str">
        <f>'Option Year'!A24</f>
        <v>Sick Leave</v>
      </c>
      <c r="C22" s="206">
        <f>'Option Year'!B24</f>
        <v>1.1321045999999999</v>
      </c>
      <c r="D22" s="229">
        <f>'Option Year'!C24</f>
        <v>19780.1315712</v>
      </c>
      <c r="E22" s="206">
        <f>'Option Year'!D24</f>
        <v>1.166067738</v>
      </c>
      <c r="F22" s="229">
        <f>'Option Year'!E24</f>
        <v>20373.535518336001</v>
      </c>
      <c r="G22" s="206">
        <f>'Option Year'!F24</f>
        <v>1.2010497701399998</v>
      </c>
      <c r="H22" s="229">
        <f>'Option Year'!G24</f>
        <v>20984.741583886076</v>
      </c>
      <c r="I22" s="206">
        <f>'Option Year'!H24</f>
        <v>1.2370812632441999</v>
      </c>
      <c r="J22" s="229">
        <f>'Option Year'!I24</f>
        <v>21614.283831402659</v>
      </c>
      <c r="K22" s="206">
        <f>'Option Year'!J24</f>
        <v>1.2741937011415259</v>
      </c>
      <c r="L22" s="229">
        <f>'Option Year'!K24</f>
        <v>22262.712346344739</v>
      </c>
      <c r="M22" s="206">
        <f>'Option Year'!L24</f>
        <v>105015.40485116947</v>
      </c>
      <c r="N22" s="229">
        <f>'Option Year'!M24</f>
        <v>1.2020994145051449</v>
      </c>
      <c r="O22" s="229">
        <f t="shared" si="0"/>
        <v>9799.9500879698462</v>
      </c>
      <c r="P22" s="230">
        <f t="shared" si="1"/>
        <v>10093.948590608941</v>
      </c>
      <c r="Q22" s="230">
        <f t="shared" si="2"/>
        <v>10396.767048327207</v>
      </c>
      <c r="R22" s="230">
        <f t="shared" si="3"/>
        <v>10708.670059777027</v>
      </c>
      <c r="S22" s="230">
        <f t="shared" si="4"/>
        <v>11029.930161570339</v>
      </c>
      <c r="T22" s="230">
        <f t="shared" si="5"/>
        <v>52029.265948253356</v>
      </c>
      <c r="U22" s="230"/>
    </row>
    <row r="23" spans="1:21" ht="13.5" customHeight="1" x14ac:dyDescent="0.3">
      <c r="A23" s="226" t="s">
        <v>594</v>
      </c>
      <c r="B23" s="205" t="str">
        <f>'Option Year'!A25</f>
        <v>Total Fringe / Burden</v>
      </c>
      <c r="C23" s="206">
        <f>'Option Year'!B25</f>
        <v>8.6165738999999988</v>
      </c>
      <c r="D23" s="229">
        <f>'Option Year'!C25</f>
        <v>150548.77918079999</v>
      </c>
      <c r="E23" s="206">
        <f>'Option Year'!D25</f>
        <v>8.8750711169999992</v>
      </c>
      <c r="F23" s="229">
        <f>'Option Year'!E25</f>
        <v>155065.242556224</v>
      </c>
      <c r="G23" s="206">
        <f>'Option Year'!F25</f>
        <v>9.1413232505099984</v>
      </c>
      <c r="H23" s="229">
        <f>'Option Year'!G25</f>
        <v>159717.1998329107</v>
      </c>
      <c r="I23" s="206">
        <f>'Option Year'!H25</f>
        <v>9.4155629480252987</v>
      </c>
      <c r="J23" s="229">
        <f>'Option Year'!I25</f>
        <v>164508.71582789801</v>
      </c>
      <c r="K23" s="206">
        <f>'Option Year'!J25</f>
        <v>9.6980298364660573</v>
      </c>
      <c r="L23" s="229">
        <f>'Option Year'!K25</f>
        <v>169443.97730273494</v>
      </c>
      <c r="M23" s="206">
        <f>'Option Year'!L25</f>
        <v>799283.91470056761</v>
      </c>
      <c r="N23" s="229">
        <f>'Option Year'!M25</f>
        <v>9.1493122104002698</v>
      </c>
      <c r="O23" s="229">
        <f t="shared" si="0"/>
        <v>74588.509002881605</v>
      </c>
      <c r="P23" s="230">
        <f t="shared" si="1"/>
        <v>76826.164272968046</v>
      </c>
      <c r="Q23" s="230">
        <f t="shared" si="2"/>
        <v>79130.949201157084</v>
      </c>
      <c r="R23" s="230">
        <f t="shared" si="3"/>
        <v>81504.877677191806</v>
      </c>
      <c r="S23" s="230">
        <f t="shared" si="4"/>
        <v>83950.024007507571</v>
      </c>
      <c r="T23" s="230">
        <f t="shared" si="5"/>
        <v>396000.5241617061</v>
      </c>
      <c r="U23" s="230"/>
    </row>
    <row r="24" spans="1:21" ht="13.5" customHeight="1" x14ac:dyDescent="0.3">
      <c r="A24" s="226" t="s">
        <v>595</v>
      </c>
      <c r="B24" s="227" t="str">
        <f>'Option Year'!A26</f>
        <v>Total Direct Labor + Fringe</v>
      </c>
      <c r="C24" s="228">
        <f>'Option Year'!B26</f>
        <v>50.546373899999999</v>
      </c>
      <c r="D24" s="229">
        <f>'Option Year'!C26</f>
        <v>883146.24478079996</v>
      </c>
      <c r="E24" s="206">
        <f>'Option Year'!D26</f>
        <v>52.062765116999998</v>
      </c>
      <c r="F24" s="229">
        <f>'Option Year'!E26</f>
        <v>909640.63212422398</v>
      </c>
      <c r="G24" s="206">
        <f>'Option Year'!F26</f>
        <v>53.624648070509998</v>
      </c>
      <c r="H24" s="229">
        <f>'Option Year'!G26</f>
        <v>936929.85108795064</v>
      </c>
      <c r="I24" s="206">
        <f>'Option Year'!H26</f>
        <v>55.233387512625299</v>
      </c>
      <c r="J24" s="229">
        <f>'Option Year'!I26</f>
        <v>965037.74662058917</v>
      </c>
      <c r="K24" s="206">
        <f>'Option Year'!J26</f>
        <v>56.890389138004053</v>
      </c>
      <c r="L24" s="229">
        <f>'Option Year'!K26</f>
        <v>993988.87901920686</v>
      </c>
      <c r="M24" s="206">
        <f>'Option Year'!L26</f>
        <v>4688743.3536327705</v>
      </c>
      <c r="N24" s="229">
        <f>'Option Year'!M26</f>
        <v>53.671512747627865</v>
      </c>
      <c r="O24" s="229">
        <f t="shared" si="0"/>
        <v>437549.62337213516</v>
      </c>
      <c r="P24" s="230">
        <f t="shared" si="1"/>
        <v>450676.11207329918</v>
      </c>
      <c r="Q24" s="230">
        <f t="shared" si="2"/>
        <v>464196.39543549815</v>
      </c>
      <c r="R24" s="230">
        <f t="shared" si="3"/>
        <v>478122.28729856317</v>
      </c>
      <c r="S24" s="230">
        <f t="shared" si="4"/>
        <v>492465.9559175201</v>
      </c>
      <c r="T24" s="230">
        <f t="shared" si="5"/>
        <v>2323010.3740970157</v>
      </c>
      <c r="U24" s="230"/>
    </row>
    <row r="25" spans="1:21" ht="13.5" customHeight="1" x14ac:dyDescent="0.3">
      <c r="A25" s="226" t="s">
        <v>596</v>
      </c>
      <c r="B25" s="205" t="str">
        <f>'Option Year'!A28</f>
        <v>Recruiting / Hiring</v>
      </c>
      <c r="C25" s="206">
        <f>'Option Year'!B28</f>
        <v>0</v>
      </c>
      <c r="D25" s="229">
        <f>'Option Year'!C28</f>
        <v>0</v>
      </c>
      <c r="E25" s="206" t="str">
        <f>'Option Year'!D28</f>
        <v/>
      </c>
      <c r="F25" s="229" t="str">
        <f>'Option Year'!E28</f>
        <v/>
      </c>
      <c r="G25" s="206" t="str">
        <f>'Option Year'!F28</f>
        <v/>
      </c>
      <c r="H25" s="229" t="str">
        <f>'Option Year'!G28</f>
        <v/>
      </c>
      <c r="I25" s="206" t="str">
        <f>'Option Year'!H28</f>
        <v/>
      </c>
      <c r="J25" s="229" t="str">
        <f>'Option Year'!I28</f>
        <v/>
      </c>
      <c r="K25" s="206" t="str">
        <f>'Option Year'!J28</f>
        <v/>
      </c>
      <c r="L25" s="229" t="str">
        <f>'Option Year'!K28</f>
        <v/>
      </c>
      <c r="M25" s="206">
        <f>'Option Year'!L28</f>
        <v>0</v>
      </c>
      <c r="N25" s="229">
        <f>'Option Year'!M28</f>
        <v>0</v>
      </c>
      <c r="O25" s="229">
        <f t="shared" si="0"/>
        <v>0</v>
      </c>
      <c r="P25" s="230">
        <f t="shared" si="1"/>
        <v>0</v>
      </c>
      <c r="Q25" s="230">
        <f t="shared" si="2"/>
        <v>0</v>
      </c>
      <c r="R25" s="230">
        <f t="shared" si="3"/>
        <v>0</v>
      </c>
      <c r="S25" s="230">
        <f t="shared" si="4"/>
        <v>0</v>
      </c>
      <c r="T25" s="230">
        <f t="shared" si="5"/>
        <v>0</v>
      </c>
      <c r="U25" s="230"/>
    </row>
    <row r="26" spans="1:21" ht="13.5" customHeight="1" x14ac:dyDescent="0.3">
      <c r="A26" s="226" t="s">
        <v>597</v>
      </c>
      <c r="B26" s="205" t="str">
        <f>'Option Year'!A29</f>
        <v>Training / Certification</v>
      </c>
      <c r="C26" s="206">
        <f>'Option Year'!B29</f>
        <v>0.62894700000000003</v>
      </c>
      <c r="D26" s="229">
        <f>'Option Year'!C29</f>
        <v>10988.961984000001</v>
      </c>
      <c r="E26" s="206">
        <f>'Option Year'!D29</f>
        <v>0.64781541000000009</v>
      </c>
      <c r="F26" s="229">
        <f>'Option Year'!E29</f>
        <v>11318.630843520001</v>
      </c>
      <c r="G26" s="206">
        <f>'Option Year'!F29</f>
        <v>0.66724987229999999</v>
      </c>
      <c r="H26" s="229">
        <f>'Option Year'!G29</f>
        <v>11658.189768825599</v>
      </c>
      <c r="I26" s="206">
        <f>'Option Year'!H29</f>
        <v>0.68726736846900005</v>
      </c>
      <c r="J26" s="229">
        <f>'Option Year'!I29</f>
        <v>12007.935461890369</v>
      </c>
      <c r="K26" s="206">
        <f>'Option Year'!J29</f>
        <v>0.70788538952307001</v>
      </c>
      <c r="L26" s="229">
        <f>'Option Year'!K29</f>
        <v>12368.173525747079</v>
      </c>
      <c r="M26" s="206">
        <f>'Option Year'!L29</f>
        <v>58341.891583983044</v>
      </c>
      <c r="N26" s="229">
        <f>'Option Year'!M29</f>
        <v>0.66783300805841406</v>
      </c>
      <c r="O26" s="229">
        <f t="shared" si="0"/>
        <v>5444.416715538805</v>
      </c>
      <c r="P26" s="230">
        <f t="shared" si="1"/>
        <v>5607.7492170049672</v>
      </c>
      <c r="Q26" s="230">
        <f t="shared" si="2"/>
        <v>5775.9816935151157</v>
      </c>
      <c r="R26" s="230">
        <f t="shared" si="3"/>
        <v>5949.2611443205715</v>
      </c>
      <c r="S26" s="230">
        <f t="shared" si="4"/>
        <v>6127.738978650189</v>
      </c>
      <c r="T26" s="230">
        <f t="shared" si="5"/>
        <v>28905.147749029649</v>
      </c>
      <c r="U26" s="230"/>
    </row>
    <row r="27" spans="1:21" ht="13.5" customHeight="1" x14ac:dyDescent="0.3">
      <c r="A27" s="226" t="s">
        <v>598</v>
      </c>
      <c r="B27" s="205" t="str">
        <f>'Option Year'!A30</f>
        <v>Uniforms / Equipment</v>
      </c>
      <c r="C27" s="206">
        <f>'Option Year'!B30</f>
        <v>1.1071394230769229</v>
      </c>
      <c r="D27" s="229">
        <f>'Option Year'!C30</f>
        <v>19343.939999999999</v>
      </c>
      <c r="E27" s="206">
        <f>'Option Year'!D30</f>
        <v>1.1403536057692307</v>
      </c>
      <c r="F27" s="229">
        <f>'Option Year'!E30</f>
        <v>19924.2582</v>
      </c>
      <c r="G27" s="206">
        <f>'Option Year'!F30</f>
        <v>1.1745642139423076</v>
      </c>
      <c r="H27" s="229">
        <f>'Option Year'!G30</f>
        <v>20521.985945999997</v>
      </c>
      <c r="I27" s="206">
        <f>'Option Year'!H30</f>
        <v>1.2098011403605768</v>
      </c>
      <c r="J27" s="229">
        <f>'Option Year'!I30</f>
        <v>21137.645524379997</v>
      </c>
      <c r="K27" s="206">
        <f>'Option Year'!J30</f>
        <v>1.246095174571394</v>
      </c>
      <c r="L27" s="229">
        <f>'Option Year'!K30</f>
        <v>21771.774890111396</v>
      </c>
      <c r="M27" s="206">
        <f>'Option Year'!L30</f>
        <v>102699.6045604914</v>
      </c>
      <c r="N27" s="229">
        <f>'Option Year'!M30</f>
        <v>1.1755907115440865</v>
      </c>
      <c r="O27" s="229">
        <f t="shared" si="0"/>
        <v>9583.8415342341832</v>
      </c>
      <c r="P27" s="230">
        <f t="shared" si="1"/>
        <v>9871.3567802612088</v>
      </c>
      <c r="Q27" s="230">
        <f t="shared" si="2"/>
        <v>10167.497483669044</v>
      </c>
      <c r="R27" s="230">
        <f t="shared" si="3"/>
        <v>10472.522408179117</v>
      </c>
      <c r="S27" s="230">
        <f t="shared" si="4"/>
        <v>10786.69808042449</v>
      </c>
      <c r="T27" s="230">
        <f t="shared" si="5"/>
        <v>50881.916286768042</v>
      </c>
      <c r="U27" s="230"/>
    </row>
    <row r="28" spans="1:21" ht="13.5" customHeight="1" x14ac:dyDescent="0.3">
      <c r="A28" s="226" t="s">
        <v>599</v>
      </c>
      <c r="B28" s="205" t="str">
        <f>'Option Year'!A31</f>
        <v>Field Supervision</v>
      </c>
      <c r="C28" s="206">
        <f>'Option Year'!B31</f>
        <v>0</v>
      </c>
      <c r="D28" s="229">
        <f>'Option Year'!C31</f>
        <v>0</v>
      </c>
      <c r="E28" s="206" t="str">
        <f>'Option Year'!D31</f>
        <v/>
      </c>
      <c r="F28" s="229" t="str">
        <f>'Option Year'!E31</f>
        <v/>
      </c>
      <c r="G28" s="206" t="str">
        <f>'Option Year'!F31</f>
        <v/>
      </c>
      <c r="H28" s="229" t="str">
        <f>'Option Year'!G31</f>
        <v/>
      </c>
      <c r="I28" s="206" t="str">
        <f>'Option Year'!H31</f>
        <v/>
      </c>
      <c r="J28" s="229" t="str">
        <f>'Option Year'!I31</f>
        <v/>
      </c>
      <c r="K28" s="206" t="str">
        <f>'Option Year'!J31</f>
        <v/>
      </c>
      <c r="L28" s="229" t="str">
        <f>'Option Year'!K31</f>
        <v/>
      </c>
      <c r="M28" s="206">
        <f>'Option Year'!L31</f>
        <v>0</v>
      </c>
      <c r="N28" s="229">
        <f>'Option Year'!M31</f>
        <v>0</v>
      </c>
      <c r="O28" s="229">
        <f t="shared" si="0"/>
        <v>0</v>
      </c>
      <c r="P28" s="230">
        <f t="shared" si="1"/>
        <v>0</v>
      </c>
      <c r="Q28" s="230">
        <f t="shared" si="2"/>
        <v>0</v>
      </c>
      <c r="R28" s="230">
        <f t="shared" si="3"/>
        <v>0</v>
      </c>
      <c r="S28" s="230">
        <f t="shared" si="4"/>
        <v>0</v>
      </c>
      <c r="T28" s="230">
        <f t="shared" si="5"/>
        <v>0</v>
      </c>
      <c r="U28" s="230"/>
    </row>
    <row r="29" spans="1:21" ht="13.5" customHeight="1" x14ac:dyDescent="0.3">
      <c r="A29" s="226" t="s">
        <v>600</v>
      </c>
      <c r="B29" s="205" t="str">
        <f>'Option Year'!A32</f>
        <v>Contract Management</v>
      </c>
      <c r="C29" s="206">
        <f>'Option Year'!B32</f>
        <v>0</v>
      </c>
      <c r="D29" s="229">
        <f>'Option Year'!C32</f>
        <v>0</v>
      </c>
      <c r="E29" s="206" t="str">
        <f>'Option Year'!D32</f>
        <v/>
      </c>
      <c r="F29" s="229" t="str">
        <f>'Option Year'!E32</f>
        <v/>
      </c>
      <c r="G29" s="206" t="str">
        <f>'Option Year'!F32</f>
        <v/>
      </c>
      <c r="H29" s="229" t="str">
        <f>'Option Year'!G32</f>
        <v/>
      </c>
      <c r="I29" s="206" t="str">
        <f>'Option Year'!H32</f>
        <v/>
      </c>
      <c r="J29" s="229" t="str">
        <f>'Option Year'!I32</f>
        <v/>
      </c>
      <c r="K29" s="206" t="str">
        <f>'Option Year'!J32</f>
        <v/>
      </c>
      <c r="L29" s="229" t="str">
        <f>'Option Year'!K32</f>
        <v/>
      </c>
      <c r="M29" s="206">
        <f>'Option Year'!L32</f>
        <v>0</v>
      </c>
      <c r="N29" s="229">
        <f>'Option Year'!M32</f>
        <v>0</v>
      </c>
      <c r="O29" s="229">
        <f t="shared" si="0"/>
        <v>0</v>
      </c>
      <c r="P29" s="230">
        <f t="shared" si="1"/>
        <v>0</v>
      </c>
      <c r="Q29" s="230">
        <f t="shared" si="2"/>
        <v>0</v>
      </c>
      <c r="R29" s="230">
        <f t="shared" si="3"/>
        <v>0</v>
      </c>
      <c r="S29" s="230">
        <f t="shared" si="4"/>
        <v>0</v>
      </c>
      <c r="T29" s="230">
        <f t="shared" si="5"/>
        <v>0</v>
      </c>
      <c r="U29" s="230"/>
    </row>
    <row r="30" spans="1:21" ht="13.5" customHeight="1" x14ac:dyDescent="0.3">
      <c r="A30" s="226" t="s">
        <v>601</v>
      </c>
      <c r="B30" s="205" t="str">
        <f>'Option Year'!A33</f>
        <v>Quality Assurance</v>
      </c>
      <c r="C30" s="206">
        <f>'Option Year'!B33</f>
        <v>0</v>
      </c>
      <c r="D30" s="229">
        <f>'Option Year'!C33</f>
        <v>0</v>
      </c>
      <c r="E30" s="206" t="str">
        <f>'Option Year'!D33</f>
        <v/>
      </c>
      <c r="F30" s="229" t="str">
        <f>'Option Year'!E33</f>
        <v/>
      </c>
      <c r="G30" s="206" t="str">
        <f>'Option Year'!F33</f>
        <v/>
      </c>
      <c r="H30" s="229" t="str">
        <f>'Option Year'!G33</f>
        <v/>
      </c>
      <c r="I30" s="206" t="str">
        <f>'Option Year'!H33</f>
        <v/>
      </c>
      <c r="J30" s="229" t="str">
        <f>'Option Year'!I33</f>
        <v/>
      </c>
      <c r="K30" s="206" t="str">
        <f>'Option Year'!J33</f>
        <v/>
      </c>
      <c r="L30" s="229" t="str">
        <f>'Option Year'!K33</f>
        <v/>
      </c>
      <c r="M30" s="206">
        <f>'Option Year'!L33</f>
        <v>0</v>
      </c>
      <c r="N30" s="229">
        <f>'Option Year'!M33</f>
        <v>0</v>
      </c>
      <c r="O30" s="229">
        <f t="shared" si="0"/>
        <v>0</v>
      </c>
      <c r="P30" s="230">
        <f t="shared" si="1"/>
        <v>0</v>
      </c>
      <c r="Q30" s="230">
        <f t="shared" si="2"/>
        <v>0</v>
      </c>
      <c r="R30" s="230">
        <f t="shared" si="3"/>
        <v>0</v>
      </c>
      <c r="S30" s="230">
        <f t="shared" si="4"/>
        <v>0</v>
      </c>
      <c r="T30" s="230">
        <f t="shared" si="5"/>
        <v>0</v>
      </c>
      <c r="U30" s="230"/>
    </row>
    <row r="31" spans="1:21" ht="13.5" customHeight="1" x14ac:dyDescent="0.3">
      <c r="A31" s="226" t="s">
        <v>602</v>
      </c>
      <c r="B31" s="205" t="str">
        <f>'Option Year'!A34</f>
        <v>Vehicles / Patrol</v>
      </c>
      <c r="C31" s="206">
        <f>'Option Year'!B34</f>
        <v>3.5046453546453544</v>
      </c>
      <c r="D31" s="229">
        <f>'Option Year'!C34</f>
        <v>61233.163636363635</v>
      </c>
      <c r="E31" s="206">
        <f>'Option Year'!D34</f>
        <v>3.6097847152847153</v>
      </c>
      <c r="F31" s="229">
        <f>'Option Year'!E34</f>
        <v>63070.158545454549</v>
      </c>
      <c r="G31" s="206">
        <f>'Option Year'!F34</f>
        <v>3.7180782567432562</v>
      </c>
      <c r="H31" s="229">
        <f>'Option Year'!G34</f>
        <v>64962.263301818173</v>
      </c>
      <c r="I31" s="206">
        <f>'Option Year'!H34</f>
        <v>3.8296206044455543</v>
      </c>
      <c r="J31" s="229">
        <f>'Option Year'!I34</f>
        <v>66911.131200872725</v>
      </c>
      <c r="K31" s="206">
        <f>'Option Year'!J34</f>
        <v>3.9445092225789207</v>
      </c>
      <c r="L31" s="229">
        <f>'Option Year'!K34</f>
        <v>68918.4651368989</v>
      </c>
      <c r="M31" s="206">
        <f>'Option Year'!L34</f>
        <v>325095.18182140798</v>
      </c>
      <c r="N31" s="229">
        <f>'Option Year'!M34</f>
        <v>3.7213276307395602</v>
      </c>
      <c r="O31" s="229">
        <f t="shared" si="0"/>
        <v>30337.611517133537</v>
      </c>
      <c r="P31" s="230">
        <f t="shared" si="1"/>
        <v>31247.739862647544</v>
      </c>
      <c r="Q31" s="230">
        <f t="shared" si="2"/>
        <v>32185.172058526961</v>
      </c>
      <c r="R31" s="230">
        <f t="shared" si="3"/>
        <v>33150.727220282781</v>
      </c>
      <c r="S31" s="230">
        <f t="shared" si="4"/>
        <v>34145.249036891262</v>
      </c>
      <c r="T31" s="230">
        <f t="shared" si="5"/>
        <v>161066.49969548208</v>
      </c>
      <c r="U31" s="230"/>
    </row>
    <row r="32" spans="1:21" ht="13.5" customHeight="1" x14ac:dyDescent="0.3">
      <c r="A32" s="226" t="s">
        <v>603</v>
      </c>
      <c r="B32" s="205" t="str">
        <f>'Option Year'!A35</f>
        <v>Technology / Systems</v>
      </c>
      <c r="C32" s="206">
        <f>'Option Year'!B35</f>
        <v>0.419298</v>
      </c>
      <c r="D32" s="229">
        <f>'Option Year'!C35</f>
        <v>7325.9746560000003</v>
      </c>
      <c r="E32" s="206">
        <f>'Option Year'!D35</f>
        <v>0.43187694000000004</v>
      </c>
      <c r="F32" s="229">
        <f>'Option Year'!E35</f>
        <v>7545.7538956800008</v>
      </c>
      <c r="G32" s="206">
        <f>'Option Year'!F35</f>
        <v>0.44483324819999998</v>
      </c>
      <c r="H32" s="229">
        <f>'Option Year'!G35</f>
        <v>7772.1265125503996</v>
      </c>
      <c r="I32" s="206">
        <f>'Option Year'!H35</f>
        <v>0.45817824564600002</v>
      </c>
      <c r="J32" s="229">
        <f>'Option Year'!I35</f>
        <v>8005.2903079269126</v>
      </c>
      <c r="K32" s="206">
        <f>'Option Year'!J35</f>
        <v>0.47192359301537995</v>
      </c>
      <c r="L32" s="229">
        <f>'Option Year'!K35</f>
        <v>8245.4490171647176</v>
      </c>
      <c r="M32" s="206">
        <f>'Option Year'!L35</f>
        <v>38894.594389322032</v>
      </c>
      <c r="N32" s="229">
        <f>'Option Year'!M35</f>
        <v>0.44522200537227602</v>
      </c>
      <c r="O32" s="229">
        <f t="shared" si="0"/>
        <v>3629.6111436925357</v>
      </c>
      <c r="P32" s="230">
        <f t="shared" si="1"/>
        <v>3738.4994780033121</v>
      </c>
      <c r="Q32" s="230">
        <f t="shared" si="2"/>
        <v>3850.6544623434106</v>
      </c>
      <c r="R32" s="230">
        <f t="shared" si="3"/>
        <v>3966.1740962137142</v>
      </c>
      <c r="S32" s="230">
        <f t="shared" si="4"/>
        <v>4085.1593191001248</v>
      </c>
      <c r="T32" s="230">
        <f t="shared" si="5"/>
        <v>19270.098499353095</v>
      </c>
      <c r="U32" s="230"/>
    </row>
    <row r="33" spans="1:21" ht="13.5" customHeight="1" x14ac:dyDescent="0.3">
      <c r="A33" s="226" t="s">
        <v>604</v>
      </c>
      <c r="B33" s="205" t="str">
        <f>'Option Year'!A36</f>
        <v>General Liability Insurance</v>
      </c>
      <c r="C33" s="206">
        <f>'Option Year'!B36</f>
        <v>3.7401381599999999</v>
      </c>
      <c r="D33" s="229">
        <f>'Option Year'!C36</f>
        <v>65347.69393152</v>
      </c>
      <c r="E33" s="206">
        <f>'Option Year'!D36</f>
        <v>3.8523423048000001</v>
      </c>
      <c r="F33" s="229">
        <f>'Option Year'!E36</f>
        <v>67308.124749465598</v>
      </c>
      <c r="G33" s="206">
        <f>'Option Year'!F36</f>
        <v>3.9679125739439995</v>
      </c>
      <c r="H33" s="229">
        <f>'Option Year'!G36</f>
        <v>69327.368491949557</v>
      </c>
      <c r="I33" s="206">
        <f>'Option Year'!H36</f>
        <v>4.0869499511623202</v>
      </c>
      <c r="J33" s="229">
        <f>'Option Year'!I36</f>
        <v>71407.189546708061</v>
      </c>
      <c r="K33" s="206">
        <f>'Option Year'!J36</f>
        <v>4.2095584496971892</v>
      </c>
      <c r="L33" s="229">
        <f>'Option Year'!K36</f>
        <v>73549.405233109283</v>
      </c>
      <c r="M33" s="206">
        <f>'Option Year'!L36</f>
        <v>346939.7819527525</v>
      </c>
      <c r="N33" s="229">
        <f>'Option Year'!M36</f>
        <v>3.9713802879207023</v>
      </c>
      <c r="O33" s="229">
        <f t="shared" si="0"/>
        <v>32376.131401737417</v>
      </c>
      <c r="P33" s="230">
        <f t="shared" si="1"/>
        <v>33347.415343789537</v>
      </c>
      <c r="Q33" s="230">
        <f t="shared" si="2"/>
        <v>34347.837804103219</v>
      </c>
      <c r="R33" s="230">
        <f t="shared" si="3"/>
        <v>35378.272938226335</v>
      </c>
      <c r="S33" s="230">
        <f t="shared" si="4"/>
        <v>36439.621126373117</v>
      </c>
      <c r="T33" s="230">
        <f t="shared" si="5"/>
        <v>171889.27861422964</v>
      </c>
      <c r="U33" s="230"/>
    </row>
    <row r="34" spans="1:21" ht="13.5" customHeight="1" x14ac:dyDescent="0.3">
      <c r="A34" s="226" t="s">
        <v>605</v>
      </c>
      <c r="B34" s="205" t="str">
        <f>'Option Year'!A37</f>
        <v>Umbrella / Other Insurance</v>
      </c>
      <c r="C34" s="206">
        <f>'Option Year'!B37</f>
        <v>0.31447350000000002</v>
      </c>
      <c r="D34" s="229">
        <f>'Option Year'!C37</f>
        <v>5494.4809920000007</v>
      </c>
      <c r="E34" s="206">
        <f>'Option Year'!D37</f>
        <v>0.32390770500000005</v>
      </c>
      <c r="F34" s="229">
        <f>'Option Year'!E37</f>
        <v>5659.3154217600004</v>
      </c>
      <c r="G34" s="206">
        <f>'Option Year'!F37</f>
        <v>0.33362493615</v>
      </c>
      <c r="H34" s="229">
        <f>'Option Year'!G37</f>
        <v>5829.0948844127997</v>
      </c>
      <c r="I34" s="206">
        <f>'Option Year'!H37</f>
        <v>0.34363368423450003</v>
      </c>
      <c r="J34" s="229">
        <f>'Option Year'!I37</f>
        <v>6003.9677309451845</v>
      </c>
      <c r="K34" s="206">
        <f>'Option Year'!J37</f>
        <v>0.353942694761535</v>
      </c>
      <c r="L34" s="229">
        <f>'Option Year'!K37</f>
        <v>6184.0867628735396</v>
      </c>
      <c r="M34" s="206">
        <f>'Option Year'!L37</f>
        <v>29170.945791991522</v>
      </c>
      <c r="N34" s="229">
        <f>'Option Year'!M37</f>
        <v>0.33391650402920703</v>
      </c>
      <c r="O34" s="229">
        <f t="shared" si="0"/>
        <v>2722.2083577694025</v>
      </c>
      <c r="P34" s="230">
        <f t="shared" si="1"/>
        <v>2803.8746085024836</v>
      </c>
      <c r="Q34" s="230">
        <f t="shared" si="2"/>
        <v>2887.9908467575578</v>
      </c>
      <c r="R34" s="230">
        <f t="shared" si="3"/>
        <v>2974.6305721602857</v>
      </c>
      <c r="S34" s="230">
        <f t="shared" si="4"/>
        <v>3063.8694893250945</v>
      </c>
      <c r="T34" s="230">
        <f t="shared" si="5"/>
        <v>14452.573874514825</v>
      </c>
      <c r="U34" s="230"/>
    </row>
    <row r="35" spans="1:21" ht="13.5" customHeight="1" x14ac:dyDescent="0.3">
      <c r="A35" s="226" t="s">
        <v>606</v>
      </c>
      <c r="B35" s="227" t="str">
        <f>'Option Year'!A38</f>
        <v>Total Operations / Support</v>
      </c>
      <c r="C35" s="228">
        <f>'Option Year'!B38</f>
        <v>9.7146414377222783</v>
      </c>
      <c r="D35" s="229">
        <f>'Option Year'!C38</f>
        <v>169734.21519988365</v>
      </c>
      <c r="E35" s="206">
        <f>'Option Year'!D38</f>
        <v>10.006080680853946</v>
      </c>
      <c r="F35" s="229">
        <f>'Option Year'!E38</f>
        <v>174826.24165588015</v>
      </c>
      <c r="G35" s="206">
        <f>'Option Year'!F38</f>
        <v>10.306263101279564</v>
      </c>
      <c r="H35" s="229">
        <f>'Option Year'!G38</f>
        <v>180071.02890555654</v>
      </c>
      <c r="I35" s="206">
        <f>'Option Year'!H38</f>
        <v>10.615450994317952</v>
      </c>
      <c r="J35" s="229">
        <f>'Option Year'!I38</f>
        <v>185473.15977272324</v>
      </c>
      <c r="K35" s="206">
        <f>'Option Year'!J38</f>
        <v>10.93391452414749</v>
      </c>
      <c r="L35" s="229">
        <f>'Option Year'!K38</f>
        <v>191037.35456590494</v>
      </c>
      <c r="M35" s="206">
        <f>'Option Year'!L38</f>
        <v>901142.00009994849</v>
      </c>
      <c r="N35" s="229">
        <f>'Option Year'!M38</f>
        <v>10.315270147664247</v>
      </c>
      <c r="O35" s="229">
        <f t="shared" si="0"/>
        <v>84093.820670105895</v>
      </c>
      <c r="P35" s="230">
        <f t="shared" si="1"/>
        <v>86616.635290209058</v>
      </c>
      <c r="Q35" s="230">
        <f t="shared" si="2"/>
        <v>89215.134348915322</v>
      </c>
      <c r="R35" s="230">
        <f t="shared" si="3"/>
        <v>91891.588379382796</v>
      </c>
      <c r="S35" s="230">
        <f t="shared" si="4"/>
        <v>94648.336030764287</v>
      </c>
      <c r="T35" s="230">
        <f t="shared" si="5"/>
        <v>446465.51471937733</v>
      </c>
      <c r="U35" s="230"/>
    </row>
    <row r="36" spans="1:21" ht="13.5" customHeight="1" x14ac:dyDescent="0.3">
      <c r="A36" s="226" t="s">
        <v>607</v>
      </c>
      <c r="B36" s="205" t="str">
        <f>'Option Year'!A40</f>
        <v>Administrative / HR / Payroll</v>
      </c>
      <c r="C36" s="206">
        <f>'Option Year'!B40</f>
        <v>0</v>
      </c>
      <c r="D36" s="229">
        <f>'Option Year'!C40</f>
        <v>0</v>
      </c>
      <c r="E36" s="206" t="str">
        <f>'Option Year'!D40</f>
        <v/>
      </c>
      <c r="F36" s="229" t="str">
        <f>'Option Year'!E40</f>
        <v/>
      </c>
      <c r="G36" s="206" t="str">
        <f>'Option Year'!F40</f>
        <v/>
      </c>
      <c r="H36" s="229" t="str">
        <f>'Option Year'!G40</f>
        <v/>
      </c>
      <c r="I36" s="206" t="str">
        <f>'Option Year'!H40</f>
        <v/>
      </c>
      <c r="J36" s="229" t="str">
        <f>'Option Year'!I40</f>
        <v/>
      </c>
      <c r="K36" s="206" t="str">
        <f>'Option Year'!J40</f>
        <v/>
      </c>
      <c r="L36" s="229" t="str">
        <f>'Option Year'!K40</f>
        <v/>
      </c>
      <c r="M36" s="206">
        <f>'Option Year'!L40</f>
        <v>0</v>
      </c>
      <c r="N36" s="229">
        <f>'Option Year'!M40</f>
        <v>0</v>
      </c>
      <c r="O36" s="229">
        <f t="shared" si="0"/>
        <v>0</v>
      </c>
      <c r="P36" s="230">
        <f t="shared" si="1"/>
        <v>0</v>
      </c>
      <c r="Q36" s="230">
        <f t="shared" si="2"/>
        <v>0</v>
      </c>
      <c r="R36" s="230">
        <f t="shared" si="3"/>
        <v>0</v>
      </c>
      <c r="S36" s="230">
        <f t="shared" si="4"/>
        <v>0</v>
      </c>
      <c r="T36" s="230">
        <f t="shared" si="5"/>
        <v>0</v>
      </c>
      <c r="U36" s="230"/>
    </row>
    <row r="37" spans="1:21" ht="13.5" customHeight="1" x14ac:dyDescent="0.3">
      <c r="A37" s="226" t="s">
        <v>608</v>
      </c>
      <c r="B37" s="205" t="str">
        <f>'Option Year'!A41</f>
        <v>Accounting / Legal</v>
      </c>
      <c r="C37" s="206">
        <f>'Option Year'!B41</f>
        <v>0</v>
      </c>
      <c r="D37" s="229">
        <f>'Option Year'!C41</f>
        <v>0</v>
      </c>
      <c r="E37" s="206" t="str">
        <f>'Option Year'!D41</f>
        <v/>
      </c>
      <c r="F37" s="229" t="str">
        <f>'Option Year'!E41</f>
        <v/>
      </c>
      <c r="G37" s="206" t="str">
        <f>'Option Year'!F41</f>
        <v/>
      </c>
      <c r="H37" s="229" t="str">
        <f>'Option Year'!G41</f>
        <v/>
      </c>
      <c r="I37" s="206" t="str">
        <f>'Option Year'!H41</f>
        <v/>
      </c>
      <c r="J37" s="229" t="str">
        <f>'Option Year'!I41</f>
        <v/>
      </c>
      <c r="K37" s="206" t="str">
        <f>'Option Year'!J41</f>
        <v/>
      </c>
      <c r="L37" s="229" t="str">
        <f>'Option Year'!K41</f>
        <v/>
      </c>
      <c r="M37" s="206">
        <f>'Option Year'!L41</f>
        <v>0</v>
      </c>
      <c r="N37" s="229">
        <f>'Option Year'!M41</f>
        <v>0</v>
      </c>
      <c r="O37" s="229">
        <f t="shared" si="0"/>
        <v>0</v>
      </c>
      <c r="P37" s="230">
        <f t="shared" si="1"/>
        <v>0</v>
      </c>
      <c r="Q37" s="230">
        <f t="shared" si="2"/>
        <v>0</v>
      </c>
      <c r="R37" s="230">
        <f t="shared" si="3"/>
        <v>0</v>
      </c>
      <c r="S37" s="230">
        <f t="shared" si="4"/>
        <v>0</v>
      </c>
      <c r="T37" s="230">
        <f t="shared" si="5"/>
        <v>0</v>
      </c>
      <c r="U37" s="230"/>
    </row>
    <row r="38" spans="1:21" ht="13.5" customHeight="1" x14ac:dyDescent="0.3">
      <c r="A38" s="226" t="s">
        <v>609</v>
      </c>
      <c r="B38" s="205" t="str">
        <f>'Option Year'!A42</f>
        <v>Corporate Overhead</v>
      </c>
      <c r="C38" s="206">
        <f>'Option Year'!B42</f>
        <v>4.1929800000000004</v>
      </c>
      <c r="D38" s="229">
        <f>'Option Year'!C42</f>
        <v>73259.74656</v>
      </c>
      <c r="E38" s="206">
        <f>'Option Year'!D42</f>
        <v>4.3187694000000008</v>
      </c>
      <c r="F38" s="229">
        <f>'Option Year'!E42</f>
        <v>75457.53895680001</v>
      </c>
      <c r="G38" s="206">
        <f>'Option Year'!F42</f>
        <v>4.4483324820000005</v>
      </c>
      <c r="H38" s="229">
        <f>'Option Year'!G42</f>
        <v>77721.265125504011</v>
      </c>
      <c r="I38" s="206">
        <f>'Option Year'!H42</f>
        <v>4.58178245646</v>
      </c>
      <c r="J38" s="229">
        <f>'Option Year'!I42</f>
        <v>80052.903079269119</v>
      </c>
      <c r="K38" s="206">
        <f>'Option Year'!J42</f>
        <v>4.7192359301538005</v>
      </c>
      <c r="L38" s="229">
        <f>'Option Year'!K42</f>
        <v>82454.490171647209</v>
      </c>
      <c r="M38" s="206">
        <f>'Option Year'!L42</f>
        <v>388945.94389322033</v>
      </c>
      <c r="N38" s="229">
        <f>'Option Year'!M42</f>
        <v>4.4522200537227601</v>
      </c>
      <c r="O38" s="229">
        <f t="shared" si="0"/>
        <v>36296.111436925356</v>
      </c>
      <c r="P38" s="230">
        <f t="shared" si="1"/>
        <v>37384.994780033121</v>
      </c>
      <c r="Q38" s="230">
        <f t="shared" si="2"/>
        <v>38506.544623434114</v>
      </c>
      <c r="R38" s="230">
        <f t="shared" si="3"/>
        <v>39661.740962137141</v>
      </c>
      <c r="S38" s="230">
        <f t="shared" si="4"/>
        <v>40851.593191001266</v>
      </c>
      <c r="T38" s="230">
        <f t="shared" si="5"/>
        <v>192700.98499353102</v>
      </c>
      <c r="U38" s="230"/>
    </row>
    <row r="39" spans="1:21" ht="13.5" customHeight="1" x14ac:dyDescent="0.3">
      <c r="A39" s="226" t="s">
        <v>610</v>
      </c>
      <c r="B39" s="205" t="str">
        <f>'Option Year'!A43</f>
        <v>G&amp;A</v>
      </c>
      <c r="C39" s="206">
        <f>'Option Year'!B43</f>
        <v>3.354384</v>
      </c>
      <c r="D39" s="229">
        <f>'Option Year'!C43</f>
        <v>58607.797248000003</v>
      </c>
      <c r="E39" s="206">
        <f>'Option Year'!D43</f>
        <v>3.4550155200000003</v>
      </c>
      <c r="F39" s="229">
        <f>'Option Year'!E43</f>
        <v>60366.031165440007</v>
      </c>
      <c r="G39" s="206">
        <f>'Option Year'!F43</f>
        <v>3.5586659855999998</v>
      </c>
      <c r="H39" s="229">
        <f>'Option Year'!G43</f>
        <v>62177.012100403197</v>
      </c>
      <c r="I39" s="206">
        <f>'Option Year'!H43</f>
        <v>3.6654259651680001</v>
      </c>
      <c r="J39" s="229">
        <f>'Option Year'!I43</f>
        <v>64042.322463415301</v>
      </c>
      <c r="K39" s="206">
        <f>'Option Year'!J43</f>
        <v>3.7753887441230396</v>
      </c>
      <c r="L39" s="229">
        <f>'Option Year'!K43</f>
        <v>65963.592137317741</v>
      </c>
      <c r="M39" s="206">
        <f>'Option Year'!L43</f>
        <v>311156.75511457626</v>
      </c>
      <c r="N39" s="229">
        <f>'Option Year'!M43</f>
        <v>3.5617760429782082</v>
      </c>
      <c r="O39" s="229">
        <f t="shared" si="0"/>
        <v>29036.889149540286</v>
      </c>
      <c r="P39" s="230">
        <f t="shared" si="1"/>
        <v>29907.995824026497</v>
      </c>
      <c r="Q39" s="230">
        <f t="shared" si="2"/>
        <v>30805.235698747285</v>
      </c>
      <c r="R39" s="230">
        <f t="shared" si="3"/>
        <v>31729.392769709713</v>
      </c>
      <c r="S39" s="230">
        <f t="shared" si="4"/>
        <v>32681.274552800998</v>
      </c>
      <c r="T39" s="230">
        <f t="shared" si="5"/>
        <v>154160.78799482476</v>
      </c>
      <c r="U39" s="230"/>
    </row>
    <row r="40" spans="1:21" ht="13.5" customHeight="1" x14ac:dyDescent="0.3">
      <c r="A40" s="226" t="s">
        <v>611</v>
      </c>
      <c r="B40" s="205" t="str">
        <f>'Option Year'!A44</f>
        <v>Profit / Fee</v>
      </c>
      <c r="C40" s="206">
        <f>'Option Year'!B44</f>
        <v>19.106529334199998</v>
      </c>
      <c r="D40" s="229">
        <f>'Option Year'!C44</f>
        <v>333829.28052714234</v>
      </c>
      <c r="E40" s="206">
        <f>'Option Year'!D44</f>
        <v>19.679725214225996</v>
      </c>
      <c r="F40" s="229">
        <f>'Option Year'!E44</f>
        <v>343844.15894295659</v>
      </c>
      <c r="G40" s="206">
        <f>'Option Year'!F44</f>
        <v>20.270116970652776</v>
      </c>
      <c r="H40" s="229">
        <f>'Option Year'!G44</f>
        <v>354159.4837112453</v>
      </c>
      <c r="I40" s="206">
        <f>'Option Year'!H44</f>
        <v>20.878220479772359</v>
      </c>
      <c r="J40" s="229">
        <f>'Option Year'!I44</f>
        <v>364784.26822258264</v>
      </c>
      <c r="K40" s="206">
        <f>'Option Year'!J44</f>
        <v>21.50456709416553</v>
      </c>
      <c r="L40" s="229">
        <f>'Option Year'!K44</f>
        <v>375727.79626926017</v>
      </c>
      <c r="M40" s="206">
        <f>'Option Year'!L44</f>
        <v>1772344.9876731869</v>
      </c>
      <c r="N40" s="229">
        <f>'Option Year'!M44</f>
        <v>20.28783181860333</v>
      </c>
      <c r="O40" s="229">
        <f t="shared" si="0"/>
        <v>165393.75763466707</v>
      </c>
      <c r="P40" s="230">
        <f t="shared" si="1"/>
        <v>170355.57036370705</v>
      </c>
      <c r="Q40" s="230">
        <f t="shared" si="2"/>
        <v>175466.23747461828</v>
      </c>
      <c r="R40" s="230">
        <f t="shared" si="3"/>
        <v>180730.22459885688</v>
      </c>
      <c r="S40" s="230">
        <f t="shared" si="4"/>
        <v>186152.13133682258</v>
      </c>
      <c r="T40" s="230">
        <f t="shared" si="5"/>
        <v>878097.92140867189</v>
      </c>
      <c r="U40" s="230"/>
    </row>
    <row r="41" spans="1:21" ht="13.5" customHeight="1" x14ac:dyDescent="0.3">
      <c r="A41" s="226" t="s">
        <v>612</v>
      </c>
      <c r="B41" s="227" t="str">
        <f>'Option Year'!A45</f>
        <v>Total Overhead / G&amp;A / Profit</v>
      </c>
      <c r="C41" s="228">
        <f>'Option Year'!B45</f>
        <v>26.653893334199999</v>
      </c>
      <c r="D41" s="229">
        <f>'Option Year'!C45</f>
        <v>465696.82433514233</v>
      </c>
      <c r="E41" s="206">
        <f>'Option Year'!D45</f>
        <v>27.453510134226001</v>
      </c>
      <c r="F41" s="229">
        <f>'Option Year'!E45</f>
        <v>479667.72906519671</v>
      </c>
      <c r="G41" s="206">
        <f>'Option Year'!F45</f>
        <v>28.277115438252778</v>
      </c>
      <c r="H41" s="229">
        <f>'Option Year'!G45</f>
        <v>494057.76093715255</v>
      </c>
      <c r="I41" s="206">
        <f>'Option Year'!H45</f>
        <v>29.125428901400362</v>
      </c>
      <c r="J41" s="229">
        <f>'Option Year'!I45</f>
        <v>508879.49376526714</v>
      </c>
      <c r="K41" s="206">
        <f>'Option Year'!J45</f>
        <v>29.999191768442373</v>
      </c>
      <c r="L41" s="229">
        <f>'Option Year'!K45</f>
        <v>524145.87857822515</v>
      </c>
      <c r="M41" s="206">
        <f>'Option Year'!L45</f>
        <v>2472447.6866809838</v>
      </c>
      <c r="N41" s="229">
        <f>'Option Year'!M45</f>
        <v>28.301827915304308</v>
      </c>
      <c r="O41" s="229">
        <f t="shared" si="0"/>
        <v>230726.75822113268</v>
      </c>
      <c r="P41" s="230">
        <f t="shared" si="1"/>
        <v>237648.56096776674</v>
      </c>
      <c r="Q41" s="230">
        <f t="shared" si="2"/>
        <v>244778.01779679972</v>
      </c>
      <c r="R41" s="230">
        <f t="shared" si="3"/>
        <v>252121.35833070375</v>
      </c>
      <c r="S41" s="230">
        <f t="shared" si="4"/>
        <v>259684.9990806249</v>
      </c>
      <c r="T41" s="230">
        <f t="shared" si="5"/>
        <v>1224959.6943970278</v>
      </c>
      <c r="U41" s="230"/>
    </row>
    <row r="42" spans="1:21" ht="13.5" customHeight="1" x14ac:dyDescent="0.3">
      <c r="A42" s="226" t="s">
        <v>613</v>
      </c>
      <c r="B42" s="205" t="str">
        <f>'Option Year'!A47</f>
        <v>Vehicle Cost per Labor Hour</v>
      </c>
      <c r="C42" s="206">
        <f>'Option Year'!B47</f>
        <v>3.5046453546453544</v>
      </c>
      <c r="D42" s="229">
        <f>'Option Year'!C47</f>
        <v>61233.163636363635</v>
      </c>
      <c r="E42" s="206">
        <f>'Option Year'!D47</f>
        <v>3.6097847152847153</v>
      </c>
      <c r="F42" s="229">
        <f>'Option Year'!E47</f>
        <v>63070.158545454549</v>
      </c>
      <c r="G42" s="206">
        <f>'Option Year'!F47</f>
        <v>3.7180782567432562</v>
      </c>
      <c r="H42" s="229">
        <f>'Option Year'!G47</f>
        <v>64962.263301818173</v>
      </c>
      <c r="I42" s="206">
        <f>'Option Year'!H47</f>
        <v>3.8296206044455543</v>
      </c>
      <c r="J42" s="229">
        <f>'Option Year'!I47</f>
        <v>66911.131200872725</v>
      </c>
      <c r="K42" s="206">
        <f>'Option Year'!J47</f>
        <v>3.9445092225789207</v>
      </c>
      <c r="L42" s="229">
        <f>'Option Year'!K47</f>
        <v>68918.4651368989</v>
      </c>
      <c r="M42" s="206">
        <f>'Option Year'!L47</f>
        <v>325095.18182140798</v>
      </c>
      <c r="N42" s="229">
        <f>'Option Year'!M47</f>
        <v>3.7213276307395602</v>
      </c>
      <c r="O42" s="229">
        <f t="shared" si="0"/>
        <v>30337.611517133537</v>
      </c>
      <c r="P42" s="230">
        <f t="shared" si="1"/>
        <v>31247.739862647544</v>
      </c>
      <c r="Q42" s="230">
        <f t="shared" si="2"/>
        <v>32185.172058526961</v>
      </c>
      <c r="R42" s="230">
        <f t="shared" si="3"/>
        <v>33150.727220282781</v>
      </c>
      <c r="S42" s="230">
        <f t="shared" si="4"/>
        <v>34145.249036891262</v>
      </c>
      <c r="T42" s="230">
        <f t="shared" si="5"/>
        <v>161066.49969548208</v>
      </c>
      <c r="U42" s="230"/>
    </row>
    <row r="43" spans="1:21" ht="13.5" customHeight="1" x14ac:dyDescent="0.3">
      <c r="A43" s="226" t="s">
        <v>614</v>
      </c>
      <c r="B43" s="205" t="str">
        <f>'Option Year'!A48</f>
        <v>Uniform &amp; Equipment Cost per Labor Hour</v>
      </c>
      <c r="C43" s="206">
        <f>'Option Year'!B48</f>
        <v>1.1071394230769229</v>
      </c>
      <c r="D43" s="229">
        <f>'Option Year'!C48</f>
        <v>19343.939999999999</v>
      </c>
      <c r="E43" s="206">
        <f>'Option Year'!D48</f>
        <v>1.1403536057692307</v>
      </c>
      <c r="F43" s="229">
        <f>'Option Year'!E48</f>
        <v>19924.2582</v>
      </c>
      <c r="G43" s="206">
        <f>'Option Year'!F48</f>
        <v>1.1745642139423076</v>
      </c>
      <c r="H43" s="229">
        <f>'Option Year'!G48</f>
        <v>20521.985945999997</v>
      </c>
      <c r="I43" s="206">
        <f>'Option Year'!H48</f>
        <v>1.2098011403605768</v>
      </c>
      <c r="J43" s="229">
        <f>'Option Year'!I48</f>
        <v>21137.645524379997</v>
      </c>
      <c r="K43" s="206">
        <f>'Option Year'!J48</f>
        <v>1.246095174571394</v>
      </c>
      <c r="L43" s="229">
        <f>'Option Year'!K48</f>
        <v>21771.774890111396</v>
      </c>
      <c r="M43" s="206">
        <f>'Option Year'!L48</f>
        <v>102699.6045604914</v>
      </c>
      <c r="N43" s="229">
        <f>'Option Year'!M48</f>
        <v>1.1755907115440865</v>
      </c>
      <c r="O43" s="229">
        <f t="shared" si="0"/>
        <v>9583.8415342341832</v>
      </c>
      <c r="P43" s="230">
        <f t="shared" si="1"/>
        <v>9871.3567802612088</v>
      </c>
      <c r="Q43" s="230">
        <f t="shared" si="2"/>
        <v>10167.497483669044</v>
      </c>
      <c r="R43" s="230">
        <f t="shared" si="3"/>
        <v>10472.522408179117</v>
      </c>
      <c r="S43" s="230">
        <f t="shared" si="4"/>
        <v>10786.69808042449</v>
      </c>
      <c r="T43" s="230">
        <f t="shared" si="5"/>
        <v>50881.916286768042</v>
      </c>
      <c r="U43" s="230"/>
    </row>
    <row r="44" spans="1:21" ht="13.5" customHeight="1" x14ac:dyDescent="0.3">
      <c r="A44" s="226" t="s">
        <v>615</v>
      </c>
      <c r="B44" s="205" t="str">
        <f>'Option Year'!A49</f>
        <v>Training Program Cost per Labor Hour</v>
      </c>
      <c r="C44" s="206">
        <f>'Option Year'!B49</f>
        <v>2.2161172161172167</v>
      </c>
      <c r="D44" s="229">
        <f>'Option Year'!C49</f>
        <v>38720.000000000007</v>
      </c>
      <c r="E44" s="206">
        <f>'Option Year'!D49</f>
        <v>2.2826007326007334</v>
      </c>
      <c r="F44" s="229">
        <f>'Option Year'!E49</f>
        <v>39881.600000000013</v>
      </c>
      <c r="G44" s="206">
        <f>'Option Year'!F49</f>
        <v>2.3510787545787553</v>
      </c>
      <c r="H44" s="229">
        <f>'Option Year'!G49</f>
        <v>41078.04800000001</v>
      </c>
      <c r="I44" s="206">
        <f>'Option Year'!H49</f>
        <v>2.4216111172161177</v>
      </c>
      <c r="J44" s="229">
        <f>'Option Year'!I49</f>
        <v>42310.389440000006</v>
      </c>
      <c r="K44" s="206">
        <f>'Option Year'!J49</f>
        <v>2.494259450732601</v>
      </c>
      <c r="L44" s="229">
        <f>'Option Year'!K49</f>
        <v>43579.701123200008</v>
      </c>
      <c r="M44" s="206">
        <f>'Option Year'!L49</f>
        <v>205569.73856320005</v>
      </c>
      <c r="N44" s="229">
        <f>'Option Year'!M49</f>
        <v>2.3531334542490847</v>
      </c>
      <c r="O44" s="229">
        <f t="shared" si="0"/>
        <v>19183.596733940845</v>
      </c>
      <c r="P44" s="230">
        <f t="shared" si="1"/>
        <v>19759.104635959073</v>
      </c>
      <c r="Q44" s="230">
        <f t="shared" si="2"/>
        <v>20351.877775037843</v>
      </c>
      <c r="R44" s="230">
        <f t="shared" si="3"/>
        <v>20962.43410828898</v>
      </c>
      <c r="S44" s="230">
        <f t="shared" si="4"/>
        <v>21591.307131537651</v>
      </c>
      <c r="T44" s="230">
        <f t="shared" si="5"/>
        <v>101848.3203847644</v>
      </c>
      <c r="U44" s="230"/>
    </row>
    <row r="45" spans="1:21" ht="13.5" customHeight="1" x14ac:dyDescent="0.3">
      <c r="A45" s="226" t="s">
        <v>616</v>
      </c>
      <c r="B45" s="210" t="str">
        <f>'Option Year'!A51</f>
        <v>Total Bill Rate</v>
      </c>
      <c r="C45" s="211">
        <f>'Option Year'!B51</f>
        <v>86.914908671922277</v>
      </c>
      <c r="D45" s="231">
        <f>'Option Year'!C51</f>
        <v>1518577.2843158259</v>
      </c>
      <c r="E45" s="232">
        <f>'Option Year'!D51</f>
        <v>89.522355932079947</v>
      </c>
      <c r="F45" s="233">
        <f>'Option Year'!E51</f>
        <v>1564134.6028453009</v>
      </c>
      <c r="G45" s="232">
        <f>'Option Year'!F51</f>
        <v>92.208026610042339</v>
      </c>
      <c r="H45" s="233">
        <f>'Option Year'!G51</f>
        <v>1611058.6409306598</v>
      </c>
      <c r="I45" s="232">
        <f>'Option Year'!H51</f>
        <v>94.974267408343607</v>
      </c>
      <c r="J45" s="233">
        <f>'Option Year'!I51</f>
        <v>1659390.4001585795</v>
      </c>
      <c r="K45" s="232">
        <f>'Option Year'!J51</f>
        <v>97.823495430593908</v>
      </c>
      <c r="L45" s="233">
        <f>'Option Year'!K51</f>
        <v>1709172.1121633367</v>
      </c>
      <c r="M45" s="232">
        <f>'Option Year'!L51</f>
        <v>8062333.0404137028</v>
      </c>
      <c r="N45" s="233">
        <f>'Option Year'!M51</f>
        <v>92.288610810596424</v>
      </c>
      <c r="O45" s="233">
        <f t="shared" si="0"/>
        <v>752370.20226337377</v>
      </c>
      <c r="P45" s="230">
        <f t="shared" si="1"/>
        <v>774941.30833127501</v>
      </c>
      <c r="Q45" s="230">
        <f t="shared" si="2"/>
        <v>798189.54758121318</v>
      </c>
      <c r="R45" s="230">
        <f t="shared" si="3"/>
        <v>822135.23400864971</v>
      </c>
      <c r="S45" s="230">
        <f t="shared" si="4"/>
        <v>846799.29102890915</v>
      </c>
      <c r="T45" s="230">
        <f t="shared" si="5"/>
        <v>3994435.5832134206</v>
      </c>
      <c r="U45" s="230"/>
    </row>
    <row r="46" spans="1:21" ht="13.5" customHeight="1" x14ac:dyDescent="0.3">
      <c r="A46" s="226" t="s">
        <v>617</v>
      </c>
      <c r="B46" s="205" t="str">
        <f>'Option Year'!A52</f>
        <v>Appraisal Benchmark Driver (Rate × Annual Hours)</v>
      </c>
      <c r="C46" s="206">
        <f>'Option Year'!B52</f>
        <v>129.97639002857142</v>
      </c>
      <c r="D46" s="229">
        <f>'Option Year'!C52</f>
        <v>2270947.4865791998</v>
      </c>
      <c r="E46" s="206">
        <f>'Option Year'!D52</f>
        <v>133.87568172942855</v>
      </c>
      <c r="F46" s="229">
        <f>'Option Year'!E52</f>
        <v>2339075.9111765758</v>
      </c>
      <c r="G46" s="206">
        <f>'Option Year'!F52</f>
        <v>137.89195218131141</v>
      </c>
      <c r="H46" s="229">
        <f>'Option Year'!G52</f>
        <v>2409248.1885118731</v>
      </c>
      <c r="I46" s="206">
        <f>'Option Year'!H52</f>
        <v>142.02871074675076</v>
      </c>
      <c r="J46" s="229">
        <f>'Option Year'!I52</f>
        <v>2481525.6341672293</v>
      </c>
      <c r="K46" s="206">
        <f>'Option Year'!J52</f>
        <v>146.28957206915328</v>
      </c>
      <c r="L46" s="229">
        <f>'Option Year'!K52</f>
        <v>2555971.4031922463</v>
      </c>
      <c r="M46" s="206">
        <f>'Option Year'!L52</f>
        <v>12056768.623627124</v>
      </c>
      <c r="N46" s="229">
        <f>'Option Year'!M52</f>
        <v>138.01246135104307</v>
      </c>
      <c r="O46" s="229">
        <f t="shared" si="0"/>
        <v>1125127.602956919</v>
      </c>
      <c r="P46" s="230">
        <f t="shared" si="1"/>
        <v>1158881.4310456265</v>
      </c>
      <c r="Q46" s="230">
        <f t="shared" si="2"/>
        <v>1193647.8739769952</v>
      </c>
      <c r="R46" s="230">
        <f t="shared" si="3"/>
        <v>1229457.3101963054</v>
      </c>
      <c r="S46" s="230">
        <f t="shared" si="4"/>
        <v>1266341.0295021946</v>
      </c>
      <c r="T46" s="230">
        <f t="shared" si="5"/>
        <v>5973455.2476780405</v>
      </c>
      <c r="U46" s="230"/>
    </row>
    <row r="47" spans="1:21" ht="13.5" customHeight="1" x14ac:dyDescent="0.3">
      <c r="A47" s="226" t="s">
        <v>618</v>
      </c>
      <c r="B47" s="205" t="str">
        <f>'Option Year'!A53</f>
        <v>Benchmark Delta vs Total Bill Rate</v>
      </c>
      <c r="C47" s="206">
        <f>'Option Year'!B53</f>
        <v>43.061481356649139</v>
      </c>
      <c r="D47" s="229">
        <f>'Option Year'!C53</f>
        <v>752370.20226337377</v>
      </c>
      <c r="E47" s="206">
        <f>'Option Year'!D53</f>
        <v>44.353325797348617</v>
      </c>
      <c r="F47" s="229">
        <f>'Option Year'!E53</f>
        <v>774941.30833127501</v>
      </c>
      <c r="G47" s="206">
        <f>'Option Year'!F53</f>
        <v>45.683925571269071</v>
      </c>
      <c r="H47" s="229">
        <f>'Option Year'!G53</f>
        <v>798189.54758121318</v>
      </c>
      <c r="I47" s="206">
        <f>'Option Year'!H53</f>
        <v>47.054443338407147</v>
      </c>
      <c r="J47" s="229">
        <f>'Option Year'!I53</f>
        <v>822135.23400864971</v>
      </c>
      <c r="K47" s="206">
        <f>'Option Year'!J53</f>
        <v>48.466076638559358</v>
      </c>
      <c r="L47" s="229">
        <f>'Option Year'!K53</f>
        <v>846799.29102890915</v>
      </c>
      <c r="M47" s="206">
        <f>'Option Year'!L53</f>
        <v>3994435.5832134206</v>
      </c>
      <c r="N47" s="229">
        <f>'Option Year'!M53</f>
        <v>45.723850540446662</v>
      </c>
      <c r="O47" s="229">
        <f t="shared" si="0"/>
        <v>372757.40069354518</v>
      </c>
      <c r="P47" s="230">
        <f t="shared" si="1"/>
        <v>383940.12271435151</v>
      </c>
      <c r="Q47" s="230">
        <f t="shared" si="2"/>
        <v>395458.32639578194</v>
      </c>
      <c r="R47" s="230">
        <f t="shared" si="3"/>
        <v>407322.07618765562</v>
      </c>
      <c r="S47" s="230">
        <f t="shared" si="4"/>
        <v>419541.73847328528</v>
      </c>
      <c r="T47" s="230">
        <f t="shared" si="5"/>
        <v>1979019.6644646195</v>
      </c>
      <c r="U47" s="230"/>
    </row>
    <row r="48" spans="1:21" ht="13.5" hidden="1" customHeight="1" x14ac:dyDescent="0.3">
      <c r="A48" s="234" t="s">
        <v>619</v>
      </c>
      <c r="B48" s="234" t="s">
        <v>620</v>
      </c>
      <c r="C48" s="235">
        <f t="shared" ref="C48:N48" si="6">C45</f>
        <v>86.914908671922277</v>
      </c>
      <c r="D48" s="236">
        <f t="shared" si="6"/>
        <v>1518577.2843158259</v>
      </c>
      <c r="E48" s="235">
        <f t="shared" si="6"/>
        <v>89.522355932079947</v>
      </c>
      <c r="F48" s="236">
        <f t="shared" si="6"/>
        <v>1564134.6028453009</v>
      </c>
      <c r="G48" s="235">
        <f t="shared" si="6"/>
        <v>92.208026610042339</v>
      </c>
      <c r="H48" s="236">
        <f t="shared" si="6"/>
        <v>1611058.6409306598</v>
      </c>
      <c r="I48" s="235">
        <f t="shared" si="6"/>
        <v>94.974267408343607</v>
      </c>
      <c r="J48" s="236">
        <f t="shared" si="6"/>
        <v>1659390.4001585795</v>
      </c>
      <c r="K48" s="235">
        <f t="shared" si="6"/>
        <v>97.823495430593908</v>
      </c>
      <c r="L48" s="236">
        <f t="shared" si="6"/>
        <v>1709172.1121633367</v>
      </c>
      <c r="M48" s="235">
        <f t="shared" si="6"/>
        <v>8062333.0404137028</v>
      </c>
      <c r="N48" s="236">
        <f t="shared" si="6"/>
        <v>92.288610810596424</v>
      </c>
      <c r="O48" s="236">
        <f t="shared" ref="O48:T48" si="7">SUM(O7:O47)</f>
        <v>4251650.2835980291</v>
      </c>
      <c r="P48" s="230">
        <f t="shared" si="7"/>
        <v>4379199.79210597</v>
      </c>
      <c r="Q48" s="230">
        <f t="shared" si="7"/>
        <v>4510575.7858691486</v>
      </c>
      <c r="R48" s="230">
        <f t="shared" si="7"/>
        <v>4645893.0594452238</v>
      </c>
      <c r="S48" s="230">
        <f t="shared" si="7"/>
        <v>4785269.8512285808</v>
      </c>
      <c r="T48" s="230">
        <f t="shared" si="7"/>
        <v>22572588.772246953</v>
      </c>
      <c r="U48" s="230"/>
    </row>
  </sheetData>
  <mergeCells count="2">
    <mergeCell ref="A1:O1"/>
    <mergeCell ref="A2:O2"/>
  </mergeCells>
  <pageMargins left="0.7" right="0.7" top="0.75" bottom="0.75"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C4BD97"/>
  </sheetPr>
  <dimension ref="A1:H63"/>
  <sheetViews>
    <sheetView zoomScaleNormal="100" workbookViewId="0"/>
  </sheetViews>
  <sheetFormatPr defaultColWidth="8.6640625" defaultRowHeight="12.75" customHeight="1" x14ac:dyDescent="0.25"/>
  <cols>
    <col min="1" max="1" width="44.109375" customWidth="1"/>
    <col min="2" max="2" width="18.6640625" customWidth="1"/>
    <col min="3" max="4" width="18" customWidth="1"/>
    <col min="5" max="5" width="20" customWidth="1"/>
    <col min="6" max="8" width="13" customWidth="1"/>
  </cols>
  <sheetData>
    <row r="1" spans="1:5" ht="17.25" customHeight="1" x14ac:dyDescent="0.3">
      <c r="A1" s="237" t="s">
        <v>621</v>
      </c>
    </row>
    <row r="2" spans="1:5" ht="12.75" customHeight="1" x14ac:dyDescent="0.25">
      <c r="A2" t="s">
        <v>622</v>
      </c>
    </row>
    <row r="4" spans="1:5" ht="12.75" customHeight="1" x14ac:dyDescent="0.25">
      <c r="A4" s="221" t="s">
        <v>623</v>
      </c>
      <c r="B4" s="221" t="s">
        <v>624</v>
      </c>
      <c r="C4" s="221" t="s">
        <v>625</v>
      </c>
      <c r="D4" s="221" t="s">
        <v>626</v>
      </c>
      <c r="E4" s="221" t="s">
        <v>627</v>
      </c>
    </row>
    <row r="5" spans="1:5" ht="12.75" customHeight="1" x14ac:dyDescent="0.25">
      <c r="A5" s="238" t="s">
        <v>628</v>
      </c>
      <c r="B5" s="239">
        <f>'Option Year'!C51</f>
        <v>1518577.2843158259</v>
      </c>
      <c r="C5" s="239">
        <f>'Option Year'!C52</f>
        <v>2270947.4865791998</v>
      </c>
      <c r="D5" s="239">
        <f>'Option Year'!C53</f>
        <v>752370.20226337377</v>
      </c>
      <c r="E5" s="239">
        <f>D5</f>
        <v>752370.20226337377</v>
      </c>
    </row>
    <row r="6" spans="1:5" ht="12.75" customHeight="1" x14ac:dyDescent="0.25">
      <c r="A6" s="238" t="s">
        <v>629</v>
      </c>
      <c r="B6" s="239">
        <f>'Option Year'!E51</f>
        <v>1564134.6028453009</v>
      </c>
      <c r="C6" s="239">
        <f>'Option Year'!E52</f>
        <v>2339075.9111765758</v>
      </c>
      <c r="D6" s="239">
        <f>'Option Year'!E53</f>
        <v>774941.30833127501</v>
      </c>
      <c r="E6" s="239">
        <f>E5+D6</f>
        <v>1527311.5105946488</v>
      </c>
    </row>
    <row r="7" spans="1:5" ht="12.75" customHeight="1" x14ac:dyDescent="0.25">
      <c r="A7" s="238" t="s">
        <v>630</v>
      </c>
      <c r="B7" s="239">
        <f>'Option Year'!G51</f>
        <v>1611058.6409306598</v>
      </c>
      <c r="C7" s="239">
        <f>'Option Year'!G52</f>
        <v>2409248.1885118731</v>
      </c>
      <c r="D7" s="239">
        <f>'Option Year'!G53</f>
        <v>798189.54758121318</v>
      </c>
      <c r="E7" s="239">
        <f>E6+D7</f>
        <v>2325501.0581758618</v>
      </c>
    </row>
    <row r="8" spans="1:5" ht="12.75" customHeight="1" x14ac:dyDescent="0.25">
      <c r="A8" s="238" t="s">
        <v>631</v>
      </c>
      <c r="B8" s="239">
        <f>'Option Year'!I51</f>
        <v>1659390.4001585795</v>
      </c>
      <c r="C8" s="239">
        <f>'Option Year'!I52</f>
        <v>2481525.6341672293</v>
      </c>
      <c r="D8" s="239">
        <f>'Option Year'!I53</f>
        <v>822135.23400864971</v>
      </c>
      <c r="E8" s="239">
        <f>E7+D8</f>
        <v>3147636.2921845117</v>
      </c>
    </row>
    <row r="9" spans="1:5" ht="12.75" customHeight="1" x14ac:dyDescent="0.25">
      <c r="A9" s="238" t="s">
        <v>632</v>
      </c>
      <c r="B9" s="239">
        <f>'Option Year'!K51</f>
        <v>1709172.1121633367</v>
      </c>
      <c r="C9" s="239">
        <f>'Option Year'!K52</f>
        <v>2555971.4031922463</v>
      </c>
      <c r="D9" s="239">
        <f>'Option Year'!K53</f>
        <v>846799.29102890915</v>
      </c>
      <c r="E9" s="239">
        <f>E8+D9</f>
        <v>3994435.5832134206</v>
      </c>
    </row>
    <row r="10" spans="1:5" ht="12.75" customHeight="1" x14ac:dyDescent="0.25">
      <c r="A10" s="238"/>
      <c r="B10" s="239"/>
      <c r="C10" s="239"/>
      <c r="D10" s="239"/>
      <c r="E10" s="239"/>
    </row>
    <row r="11" spans="1:5" ht="12.75" customHeight="1" x14ac:dyDescent="0.25">
      <c r="A11" s="238"/>
      <c r="B11" s="239"/>
      <c r="C11" s="239"/>
      <c r="D11" s="239"/>
      <c r="E11" s="239"/>
    </row>
    <row r="12" spans="1:5" ht="12.75" customHeight="1" x14ac:dyDescent="0.25">
      <c r="A12" s="222" t="s">
        <v>633</v>
      </c>
      <c r="B12" s="223">
        <f>SUM(B5:B9)</f>
        <v>8062333.0404137028</v>
      </c>
      <c r="C12" s="223">
        <f>SUM(C5:C9)</f>
        <v>12056768.623627124</v>
      </c>
      <c r="D12" s="223">
        <f>SUM(D5:D9)</f>
        <v>3994435.5832134206</v>
      </c>
      <c r="E12" s="223">
        <f>SUM(D5:D9)</f>
        <v>3994435.5832134206</v>
      </c>
    </row>
    <row r="14" spans="1:5" ht="12.75" customHeight="1" x14ac:dyDescent="0.25">
      <c r="A14" s="221" t="s">
        <v>634</v>
      </c>
      <c r="B14" s="222" t="str">
        <f>'Option Year'!B3</f>
        <v>Medium</v>
      </c>
    </row>
    <row r="15" spans="1:5" ht="12.75" customHeight="1" x14ac:dyDescent="0.25">
      <c r="A15" s="221" t="s">
        <v>635</v>
      </c>
      <c r="B15" s="240">
        <f>'Option Year'!B4</f>
        <v>0.03</v>
      </c>
    </row>
    <row r="16" spans="1:5" ht="12.75" customHeight="1" x14ac:dyDescent="0.25">
      <c r="A16" s="221" t="s">
        <v>537</v>
      </c>
      <c r="B16" s="241">
        <f>'Option Year'!H3</f>
        <v>17472</v>
      </c>
    </row>
    <row r="18" spans="1:8" ht="12.75" hidden="1" customHeight="1" x14ac:dyDescent="0.25">
      <c r="A18" t="s">
        <v>636</v>
      </c>
    </row>
    <row r="19" spans="1:8" ht="12.75" hidden="1" customHeight="1" x14ac:dyDescent="0.25">
      <c r="A19" t="s">
        <v>318</v>
      </c>
      <c r="B19" t="s">
        <v>190</v>
      </c>
      <c r="C19" t="s">
        <v>637</v>
      </c>
      <c r="D19" t="s">
        <v>638</v>
      </c>
      <c r="E19" t="s">
        <v>639</v>
      </c>
      <c r="F19" t="s">
        <v>640</v>
      </c>
      <c r="G19" t="s">
        <v>633</v>
      </c>
    </row>
    <row r="20" spans="1:8" ht="12.75" hidden="1" customHeight="1" x14ac:dyDescent="0.25">
      <c r="A20" t="str">
        <f>'CLIN Pricing'!B7</f>
        <v>Base Consolidated Blended Direct Labor Wage</v>
      </c>
      <c r="B20" s="242">
        <f>'CLIN Pricing'!O7</f>
        <v>292066.93088969222</v>
      </c>
      <c r="C20" s="242">
        <f>'CLIN Pricing'!P7</f>
        <v>300828.93881638296</v>
      </c>
      <c r="D20" s="242">
        <f>'CLIN Pricing'!Q7</f>
        <v>309853.80698087445</v>
      </c>
      <c r="E20" s="242">
        <f>'CLIN Pricing'!R7</f>
        <v>319149.42119030084</v>
      </c>
      <c r="F20" s="242">
        <f>'CLIN Pricing'!S7</f>
        <v>328723.90382600977</v>
      </c>
      <c r="G20" s="242">
        <f>'CLIN Pricing'!T7</f>
        <v>1550623.0017032602</v>
      </c>
      <c r="H20" s="242"/>
    </row>
    <row r="21" spans="1:8" ht="12.75" hidden="1" customHeight="1" x14ac:dyDescent="0.25">
      <c r="A21" t="str">
        <f>'CLIN Pricing'!B8</f>
        <v xml:space="preserve">Locality Pay </v>
      </c>
      <c r="B21" s="242">
        <f>'CLIN Pricing'!O8</f>
        <v>0</v>
      </c>
      <c r="C21" s="242">
        <f>'CLIN Pricing'!P8</f>
        <v>0</v>
      </c>
      <c r="D21" s="242">
        <f>'CLIN Pricing'!Q8</f>
        <v>0</v>
      </c>
      <c r="E21" s="242">
        <f>'CLIN Pricing'!R8</f>
        <v>0</v>
      </c>
      <c r="F21" s="242">
        <f>'CLIN Pricing'!S8</f>
        <v>0</v>
      </c>
      <c r="G21" s="242">
        <f>'CLIN Pricing'!T8</f>
        <v>0</v>
      </c>
      <c r="H21" s="242"/>
    </row>
    <row r="22" spans="1:8" ht="12.75" hidden="1" customHeight="1" x14ac:dyDescent="0.25">
      <c r="A22" t="str">
        <f>'CLIN Pricing'!B9</f>
        <v>Labor Market Adjustment</v>
      </c>
      <c r="B22" s="242">
        <f>'CLIN Pricing'!O9</f>
        <v>0</v>
      </c>
      <c r="C22" s="242">
        <f>'CLIN Pricing'!P9</f>
        <v>0</v>
      </c>
      <c r="D22" s="242">
        <f>'CLIN Pricing'!Q9</f>
        <v>0</v>
      </c>
      <c r="E22" s="242">
        <f>'CLIN Pricing'!R9</f>
        <v>0</v>
      </c>
      <c r="F22" s="242">
        <f>'CLIN Pricing'!S9</f>
        <v>0</v>
      </c>
      <c r="G22" s="242">
        <f>'CLIN Pricing'!T9</f>
        <v>0</v>
      </c>
      <c r="H22" s="242"/>
    </row>
    <row r="23" spans="1:8" ht="12.75" hidden="1" customHeight="1" x14ac:dyDescent="0.25">
      <c r="A23" t="str">
        <f>'CLIN Pricing'!B10</f>
        <v>H&amp;W (Cash)</v>
      </c>
      <c r="B23" s="242">
        <f>'CLIN Pricing'!O10</f>
        <v>36530.007360832868</v>
      </c>
      <c r="C23" s="242">
        <f>'CLIN Pricing'!P10</f>
        <v>37625.907581657848</v>
      </c>
      <c r="D23" s="242">
        <f>'CLIN Pricing'!Q10</f>
        <v>38754.684809107581</v>
      </c>
      <c r="E23" s="242">
        <f>'CLIN Pricing'!R10</f>
        <v>39917.325353380824</v>
      </c>
      <c r="F23" s="242">
        <f>'CLIN Pricing'!S10</f>
        <v>41114.845113982243</v>
      </c>
      <c r="G23" s="242">
        <f>'CLIN Pricing'!T10</f>
        <v>193942.77021896138</v>
      </c>
      <c r="H23" s="242"/>
    </row>
    <row r="24" spans="1:8" ht="12.75" hidden="1" customHeight="1" x14ac:dyDescent="0.25">
      <c r="A24" t="str">
        <f>'CLIN Pricing'!B11</f>
        <v>Shift Differential</v>
      </c>
      <c r="B24" s="242">
        <f>'CLIN Pricing'!O11</f>
        <v>0</v>
      </c>
      <c r="C24" s="242">
        <f>'CLIN Pricing'!P11</f>
        <v>0</v>
      </c>
      <c r="D24" s="242">
        <f>'CLIN Pricing'!Q11</f>
        <v>0</v>
      </c>
      <c r="E24" s="242">
        <f>'CLIN Pricing'!R11</f>
        <v>0</v>
      </c>
      <c r="F24" s="242">
        <f>'CLIN Pricing'!S11</f>
        <v>0</v>
      </c>
      <c r="G24" s="242">
        <f>'CLIN Pricing'!T11</f>
        <v>0</v>
      </c>
      <c r="H24" s="242"/>
    </row>
    <row r="25" spans="1:8" ht="12.75" hidden="1" customHeight="1" x14ac:dyDescent="0.25">
      <c r="A25" t="str">
        <f>'CLIN Pricing'!B12</f>
        <v>OT/Holiday Premium</v>
      </c>
      <c r="B25" s="242">
        <f>'CLIN Pricing'!O12</f>
        <v>23365.354471175375</v>
      </c>
      <c r="C25" s="242">
        <f>'CLIN Pricing'!P12</f>
        <v>24066.315105310638</v>
      </c>
      <c r="D25" s="242">
        <f>'CLIN Pricing'!Q12</f>
        <v>24788.304558469954</v>
      </c>
      <c r="E25" s="242">
        <f>'CLIN Pricing'!R12</f>
        <v>25531.953695224063</v>
      </c>
      <c r="F25" s="242">
        <f>'CLIN Pricing'!S12</f>
        <v>26297.912306080783</v>
      </c>
      <c r="G25" s="242">
        <f>'CLIN Pricing'!T12</f>
        <v>124049.84013626081</v>
      </c>
      <c r="H25" s="242"/>
    </row>
    <row r="26" spans="1:8" ht="12.75" hidden="1" customHeight="1" x14ac:dyDescent="0.25">
      <c r="A26" t="str">
        <f>'CLIN Pricing'!B13</f>
        <v>DON/DOFF</v>
      </c>
      <c r="B26" s="242">
        <f>'CLIN Pricing'!O13</f>
        <v>10998.821647553137</v>
      </c>
      <c r="C26" s="242">
        <f>'CLIN Pricing'!P13</f>
        <v>11328.786296979732</v>
      </c>
      <c r="D26" s="242">
        <f>'CLIN Pricing'!Q13</f>
        <v>11668.649885889123</v>
      </c>
      <c r="E26" s="242">
        <f>'CLIN Pricing'!R13</f>
        <v>12018.7093824658</v>
      </c>
      <c r="F26" s="242">
        <f>'CLIN Pricing'!S13</f>
        <v>12379.270663939773</v>
      </c>
      <c r="G26" s="242">
        <f>'CLIN Pricing'!T13</f>
        <v>58394.237876827567</v>
      </c>
      <c r="H26" s="242"/>
    </row>
    <row r="27" spans="1:8" ht="12.75" hidden="1" customHeight="1" x14ac:dyDescent="0.25">
      <c r="A27" t="str">
        <f>'CLIN Pricing'!B14</f>
        <v>Total Direct Labor</v>
      </c>
      <c r="B27" s="242">
        <f>'CLIN Pricing'!O14</f>
        <v>362961.11436925357</v>
      </c>
      <c r="C27" s="242">
        <f>'CLIN Pricing'!P14</f>
        <v>373849.94780033117</v>
      </c>
      <c r="D27" s="242">
        <f>'CLIN Pricing'!Q14</f>
        <v>385065.44623434107</v>
      </c>
      <c r="E27" s="242">
        <f>'CLIN Pricing'!R14</f>
        <v>396617.40962137142</v>
      </c>
      <c r="F27" s="242">
        <f>'CLIN Pricing'!S14</f>
        <v>408515.9319100125</v>
      </c>
      <c r="G27" s="242">
        <f>'CLIN Pricing'!T14</f>
        <v>1927009.8499353095</v>
      </c>
      <c r="H27" s="242"/>
    </row>
    <row r="28" spans="1:8" ht="12.75" hidden="1" customHeight="1" x14ac:dyDescent="0.25">
      <c r="A28" t="str">
        <f>'CLIN Pricing'!B15</f>
        <v>FICA / Medicare</v>
      </c>
      <c r="B28" s="242">
        <f>'CLIN Pricing'!O15</f>
        <v>27766.525249247898</v>
      </c>
      <c r="C28" s="242">
        <f>'CLIN Pricing'!P15</f>
        <v>28599.521006725336</v>
      </c>
      <c r="D28" s="242">
        <f>'CLIN Pricing'!Q15</f>
        <v>29457.50663692709</v>
      </c>
      <c r="E28" s="242">
        <f>'CLIN Pricing'!R15</f>
        <v>30341.231836034916</v>
      </c>
      <c r="F28" s="242">
        <f>'CLIN Pricing'!S15</f>
        <v>31251.468791115953</v>
      </c>
      <c r="G28" s="242">
        <f>'CLIN Pricing'!T15</f>
        <v>147416.25352005119</v>
      </c>
      <c r="H28" s="242"/>
    </row>
    <row r="29" spans="1:8" ht="12.75" hidden="1" customHeight="1" x14ac:dyDescent="0.25">
      <c r="A29" t="str">
        <f>'CLIN Pricing'!B16</f>
        <v>FUTA</v>
      </c>
      <c r="B29" s="242">
        <f>'CLIN Pricing'!O16</f>
        <v>2177.7666862155215</v>
      </c>
      <c r="C29" s="242">
        <f>'CLIN Pricing'!P16</f>
        <v>2243.099686801987</v>
      </c>
      <c r="D29" s="242">
        <f>'CLIN Pricing'!Q16</f>
        <v>2310.392677406046</v>
      </c>
      <c r="E29" s="242">
        <f>'CLIN Pricing'!R16</f>
        <v>2379.7044577282281</v>
      </c>
      <c r="F29" s="242">
        <f>'CLIN Pricing'!S16</f>
        <v>2451.0955914600754</v>
      </c>
      <c r="G29" s="242">
        <f>'CLIN Pricing'!T16</f>
        <v>11562.059099611859</v>
      </c>
      <c r="H29" s="242"/>
    </row>
    <row r="30" spans="1:8" ht="12.75" hidden="1" customHeight="1" x14ac:dyDescent="0.25">
      <c r="A30" t="str">
        <f>'CLIN Pricing'!B17</f>
        <v>SUTA</v>
      </c>
      <c r="B30" s="242">
        <f>'CLIN Pricing'!O17</f>
        <v>7259.2222873850715</v>
      </c>
      <c r="C30" s="242">
        <f>'CLIN Pricing'!P17</f>
        <v>7476.9989560066242</v>
      </c>
      <c r="D30" s="242">
        <f>'CLIN Pricing'!Q17</f>
        <v>7701.3089246868212</v>
      </c>
      <c r="E30" s="242">
        <f>'CLIN Pricing'!R17</f>
        <v>7932.3481924274283</v>
      </c>
      <c r="F30" s="242">
        <f>'CLIN Pricing'!S17</f>
        <v>8170.3186382002496</v>
      </c>
      <c r="G30" s="242">
        <f>'CLIN Pricing'!T17</f>
        <v>38540.196998706189</v>
      </c>
      <c r="H30" s="242"/>
    </row>
    <row r="31" spans="1:8" ht="12.75" hidden="1" customHeight="1" x14ac:dyDescent="0.25">
      <c r="A31" t="str">
        <f>'CLIN Pricing'!B18</f>
        <v>Workers Compensation</v>
      </c>
      <c r="B31" s="242">
        <f>'CLIN Pricing'!O18</f>
        <v>5807.3778299080577</v>
      </c>
      <c r="C31" s="242">
        <f>'CLIN Pricing'!P18</f>
        <v>5981.5991648052996</v>
      </c>
      <c r="D31" s="242">
        <f>'CLIN Pricing'!Q18</f>
        <v>6161.0471397494575</v>
      </c>
      <c r="E31" s="242">
        <f>'CLIN Pricing'!R18</f>
        <v>6345.8785539419432</v>
      </c>
      <c r="F31" s="242">
        <f>'CLIN Pricing'!S18</f>
        <v>6536.2549105602011</v>
      </c>
      <c r="G31" s="242">
        <f>'CLIN Pricing'!T18</f>
        <v>30832.157598964961</v>
      </c>
      <c r="H31" s="242"/>
    </row>
    <row r="32" spans="1:8" ht="12.75" hidden="1" customHeight="1" x14ac:dyDescent="0.25">
      <c r="A32" t="str">
        <f>'CLIN Pricing'!B19</f>
        <v>Health &amp; Welfare</v>
      </c>
      <c r="B32" s="242">
        <f>'CLIN Pricing'!O19</f>
        <v>0</v>
      </c>
      <c r="C32" s="242">
        <f>'CLIN Pricing'!P19</f>
        <v>0</v>
      </c>
      <c r="D32" s="242">
        <f>'CLIN Pricing'!Q19</f>
        <v>0</v>
      </c>
      <c r="E32" s="242">
        <f>'CLIN Pricing'!R19</f>
        <v>0</v>
      </c>
      <c r="F32" s="242">
        <f>'CLIN Pricing'!S19</f>
        <v>0</v>
      </c>
      <c r="G32" s="242">
        <f>'CLIN Pricing'!T19</f>
        <v>0</v>
      </c>
      <c r="H32" s="242"/>
    </row>
    <row r="33" spans="1:8" ht="12.75" hidden="1" customHeight="1" x14ac:dyDescent="0.25">
      <c r="A33" t="str">
        <f>'CLIN Pricing'!B20</f>
        <v>Vacation</v>
      </c>
      <c r="B33" s="242">
        <f>'CLIN Pricing'!O20</f>
        <v>7259.2222873850715</v>
      </c>
      <c r="C33" s="242">
        <f>'CLIN Pricing'!P20</f>
        <v>7476.9989560066242</v>
      </c>
      <c r="D33" s="242">
        <f>'CLIN Pricing'!Q20</f>
        <v>7701.3089246868212</v>
      </c>
      <c r="E33" s="242">
        <f>'CLIN Pricing'!R20</f>
        <v>7932.3481924274283</v>
      </c>
      <c r="F33" s="242">
        <f>'CLIN Pricing'!S20</f>
        <v>8170.3186382002496</v>
      </c>
      <c r="G33" s="242">
        <f>'CLIN Pricing'!T20</f>
        <v>38540.196998706189</v>
      </c>
      <c r="H33" s="242"/>
    </row>
    <row r="34" spans="1:8" ht="12.75" hidden="1" customHeight="1" x14ac:dyDescent="0.25">
      <c r="A34" t="str">
        <f>'CLIN Pricing'!B21</f>
        <v>Paid Holidays</v>
      </c>
      <c r="B34" s="242">
        <f>'CLIN Pricing'!O21</f>
        <v>14518.444574770143</v>
      </c>
      <c r="C34" s="242">
        <f>'CLIN Pricing'!P21</f>
        <v>14953.997912013248</v>
      </c>
      <c r="D34" s="242">
        <f>'CLIN Pricing'!Q21</f>
        <v>15402.617849373642</v>
      </c>
      <c r="E34" s="242">
        <f>'CLIN Pricing'!R21</f>
        <v>15864.696384854857</v>
      </c>
      <c r="F34" s="242">
        <f>'CLIN Pricing'!S21</f>
        <v>16340.637276400499</v>
      </c>
      <c r="G34" s="242">
        <f>'CLIN Pricing'!T21</f>
        <v>77080.393997412379</v>
      </c>
      <c r="H34" s="242"/>
    </row>
    <row r="35" spans="1:8" ht="12.75" hidden="1" customHeight="1" x14ac:dyDescent="0.25">
      <c r="A35" t="str">
        <f>'CLIN Pricing'!B22</f>
        <v>Sick Leave</v>
      </c>
      <c r="B35" s="242">
        <f>'CLIN Pricing'!O22</f>
        <v>9799.9500879698462</v>
      </c>
      <c r="C35" s="242">
        <f>'CLIN Pricing'!P22</f>
        <v>10093.948590608941</v>
      </c>
      <c r="D35" s="242">
        <f>'CLIN Pricing'!Q22</f>
        <v>10396.767048327207</v>
      </c>
      <c r="E35" s="242">
        <f>'CLIN Pricing'!R22</f>
        <v>10708.670059777027</v>
      </c>
      <c r="F35" s="242">
        <f>'CLIN Pricing'!S22</f>
        <v>11029.930161570339</v>
      </c>
      <c r="G35" s="242">
        <f>'CLIN Pricing'!T22</f>
        <v>52029.265948253356</v>
      </c>
      <c r="H35" s="242"/>
    </row>
    <row r="36" spans="1:8" ht="12.75" hidden="1" customHeight="1" x14ac:dyDescent="0.25">
      <c r="A36" t="str">
        <f>'CLIN Pricing'!B23</f>
        <v>Total Fringe / Burden</v>
      </c>
      <c r="B36" s="242">
        <f>'CLIN Pricing'!O23</f>
        <v>74588.509002881605</v>
      </c>
      <c r="C36" s="242">
        <f>'CLIN Pricing'!P23</f>
        <v>76826.164272968046</v>
      </c>
      <c r="D36" s="242">
        <f>'CLIN Pricing'!Q23</f>
        <v>79130.949201157084</v>
      </c>
      <c r="E36" s="242">
        <f>'CLIN Pricing'!R23</f>
        <v>81504.877677191806</v>
      </c>
      <c r="F36" s="242">
        <f>'CLIN Pricing'!S23</f>
        <v>83950.024007507571</v>
      </c>
      <c r="G36" s="242">
        <f>'CLIN Pricing'!T23</f>
        <v>396000.5241617061</v>
      </c>
      <c r="H36" s="242"/>
    </row>
    <row r="37" spans="1:8" ht="12.75" hidden="1" customHeight="1" x14ac:dyDescent="0.25">
      <c r="A37" t="str">
        <f>'CLIN Pricing'!B24</f>
        <v>Total Direct Labor + Fringe</v>
      </c>
      <c r="B37" s="242">
        <f>'CLIN Pricing'!O24</f>
        <v>437549.62337213516</v>
      </c>
      <c r="C37" s="242">
        <f>'CLIN Pricing'!P24</f>
        <v>450676.11207329918</v>
      </c>
      <c r="D37" s="242">
        <f>'CLIN Pricing'!Q24</f>
        <v>464196.39543549815</v>
      </c>
      <c r="E37" s="242">
        <f>'CLIN Pricing'!R24</f>
        <v>478122.28729856317</v>
      </c>
      <c r="F37" s="242">
        <f>'CLIN Pricing'!S24</f>
        <v>492465.9559175201</v>
      </c>
      <c r="G37" s="242">
        <f>'CLIN Pricing'!T24</f>
        <v>2323010.3740970157</v>
      </c>
      <c r="H37" s="242"/>
    </row>
    <row r="38" spans="1:8" ht="12.75" hidden="1" customHeight="1" x14ac:dyDescent="0.25">
      <c r="A38" t="str">
        <f>'CLIN Pricing'!B25</f>
        <v>Recruiting / Hiring</v>
      </c>
      <c r="B38" s="242">
        <f>'CLIN Pricing'!O25</f>
        <v>0</v>
      </c>
      <c r="C38" s="242">
        <f>'CLIN Pricing'!P25</f>
        <v>0</v>
      </c>
      <c r="D38" s="242">
        <f>'CLIN Pricing'!Q25</f>
        <v>0</v>
      </c>
      <c r="E38" s="242">
        <f>'CLIN Pricing'!R25</f>
        <v>0</v>
      </c>
      <c r="F38" s="242">
        <f>'CLIN Pricing'!S25</f>
        <v>0</v>
      </c>
      <c r="G38" s="242">
        <f>'CLIN Pricing'!T25</f>
        <v>0</v>
      </c>
      <c r="H38" s="242"/>
    </row>
    <row r="39" spans="1:8" ht="12.75" hidden="1" customHeight="1" x14ac:dyDescent="0.25">
      <c r="A39" t="str">
        <f>'CLIN Pricing'!B26</f>
        <v>Training / Certification</v>
      </c>
      <c r="B39" s="242">
        <f>'CLIN Pricing'!O26</f>
        <v>5444.416715538805</v>
      </c>
      <c r="C39" s="242">
        <f>'CLIN Pricing'!P26</f>
        <v>5607.7492170049672</v>
      </c>
      <c r="D39" s="242">
        <f>'CLIN Pricing'!Q26</f>
        <v>5775.9816935151157</v>
      </c>
      <c r="E39" s="242">
        <f>'CLIN Pricing'!R26</f>
        <v>5949.2611443205715</v>
      </c>
      <c r="F39" s="242">
        <f>'CLIN Pricing'!S26</f>
        <v>6127.738978650189</v>
      </c>
      <c r="G39" s="242">
        <f>'CLIN Pricing'!T26</f>
        <v>28905.147749029649</v>
      </c>
      <c r="H39" s="242"/>
    </row>
    <row r="40" spans="1:8" ht="12.75" hidden="1" customHeight="1" x14ac:dyDescent="0.25">
      <c r="A40" t="str">
        <f>'CLIN Pricing'!B27</f>
        <v>Uniforms / Equipment</v>
      </c>
      <c r="B40" s="242">
        <f>'CLIN Pricing'!O27</f>
        <v>9583.8415342341832</v>
      </c>
      <c r="C40" s="242">
        <f>'CLIN Pricing'!P27</f>
        <v>9871.3567802612088</v>
      </c>
      <c r="D40" s="242">
        <f>'CLIN Pricing'!Q27</f>
        <v>10167.497483669044</v>
      </c>
      <c r="E40" s="242">
        <f>'CLIN Pricing'!R27</f>
        <v>10472.522408179117</v>
      </c>
      <c r="F40" s="242">
        <f>'CLIN Pricing'!S27</f>
        <v>10786.69808042449</v>
      </c>
      <c r="G40" s="242">
        <f>'CLIN Pricing'!T27</f>
        <v>50881.916286768042</v>
      </c>
      <c r="H40" s="242"/>
    </row>
    <row r="41" spans="1:8" ht="12.75" hidden="1" customHeight="1" x14ac:dyDescent="0.25">
      <c r="A41" t="str">
        <f>'CLIN Pricing'!B28</f>
        <v>Field Supervision</v>
      </c>
      <c r="B41" s="242">
        <f>'CLIN Pricing'!O28</f>
        <v>0</v>
      </c>
      <c r="C41" s="242">
        <f>'CLIN Pricing'!P28</f>
        <v>0</v>
      </c>
      <c r="D41" s="242">
        <f>'CLIN Pricing'!Q28</f>
        <v>0</v>
      </c>
      <c r="E41" s="242">
        <f>'CLIN Pricing'!R28</f>
        <v>0</v>
      </c>
      <c r="F41" s="242">
        <f>'CLIN Pricing'!S28</f>
        <v>0</v>
      </c>
      <c r="G41" s="242">
        <f>'CLIN Pricing'!T28</f>
        <v>0</v>
      </c>
      <c r="H41" s="242"/>
    </row>
    <row r="42" spans="1:8" ht="12.75" hidden="1" customHeight="1" x14ac:dyDescent="0.25">
      <c r="A42" t="str">
        <f>'CLIN Pricing'!B29</f>
        <v>Contract Management</v>
      </c>
      <c r="B42" s="242">
        <f>'CLIN Pricing'!O29</f>
        <v>0</v>
      </c>
      <c r="C42" s="242">
        <f>'CLIN Pricing'!P29</f>
        <v>0</v>
      </c>
      <c r="D42" s="242">
        <f>'CLIN Pricing'!Q29</f>
        <v>0</v>
      </c>
      <c r="E42" s="242">
        <f>'CLIN Pricing'!R29</f>
        <v>0</v>
      </c>
      <c r="F42" s="242">
        <f>'CLIN Pricing'!S29</f>
        <v>0</v>
      </c>
      <c r="G42" s="242">
        <f>'CLIN Pricing'!T29</f>
        <v>0</v>
      </c>
      <c r="H42" s="242"/>
    </row>
    <row r="43" spans="1:8" ht="12.75" hidden="1" customHeight="1" x14ac:dyDescent="0.25">
      <c r="A43" t="str">
        <f>'CLIN Pricing'!B30</f>
        <v>Quality Assurance</v>
      </c>
      <c r="B43" s="242">
        <f>'CLIN Pricing'!O30</f>
        <v>0</v>
      </c>
      <c r="C43" s="242">
        <f>'CLIN Pricing'!P30</f>
        <v>0</v>
      </c>
      <c r="D43" s="242">
        <f>'CLIN Pricing'!Q30</f>
        <v>0</v>
      </c>
      <c r="E43" s="242">
        <f>'CLIN Pricing'!R30</f>
        <v>0</v>
      </c>
      <c r="F43" s="242">
        <f>'CLIN Pricing'!S30</f>
        <v>0</v>
      </c>
      <c r="G43" s="242">
        <f>'CLIN Pricing'!T30</f>
        <v>0</v>
      </c>
      <c r="H43" s="242"/>
    </row>
    <row r="44" spans="1:8" ht="12.75" hidden="1" customHeight="1" x14ac:dyDescent="0.25">
      <c r="A44" t="str">
        <f>'CLIN Pricing'!B31</f>
        <v>Vehicles / Patrol</v>
      </c>
      <c r="B44" s="242">
        <f>'CLIN Pricing'!O31</f>
        <v>30337.611517133537</v>
      </c>
      <c r="C44" s="242">
        <f>'CLIN Pricing'!P31</f>
        <v>31247.739862647544</v>
      </c>
      <c r="D44" s="242">
        <f>'CLIN Pricing'!Q31</f>
        <v>32185.172058526961</v>
      </c>
      <c r="E44" s="242">
        <f>'CLIN Pricing'!R31</f>
        <v>33150.727220282781</v>
      </c>
      <c r="F44" s="242">
        <f>'CLIN Pricing'!S31</f>
        <v>34145.249036891262</v>
      </c>
      <c r="G44" s="242">
        <f>'CLIN Pricing'!T31</f>
        <v>161066.49969548208</v>
      </c>
      <c r="H44" s="242"/>
    </row>
    <row r="45" spans="1:8" ht="12.75" hidden="1" customHeight="1" x14ac:dyDescent="0.25">
      <c r="A45" t="str">
        <f>'CLIN Pricing'!B32</f>
        <v>Technology / Systems</v>
      </c>
      <c r="B45" s="242">
        <f>'CLIN Pricing'!O32</f>
        <v>3629.6111436925357</v>
      </c>
      <c r="C45" s="242">
        <f>'CLIN Pricing'!P32</f>
        <v>3738.4994780033121</v>
      </c>
      <c r="D45" s="242">
        <f>'CLIN Pricing'!Q32</f>
        <v>3850.6544623434106</v>
      </c>
      <c r="E45" s="242">
        <f>'CLIN Pricing'!R32</f>
        <v>3966.1740962137142</v>
      </c>
      <c r="F45" s="242">
        <f>'CLIN Pricing'!S32</f>
        <v>4085.1593191001248</v>
      </c>
      <c r="G45" s="242">
        <f>'CLIN Pricing'!T32</f>
        <v>19270.098499353095</v>
      </c>
      <c r="H45" s="242"/>
    </row>
    <row r="46" spans="1:8" ht="12.75" hidden="1" customHeight="1" x14ac:dyDescent="0.25">
      <c r="A46" t="str">
        <f>'CLIN Pricing'!B33</f>
        <v>General Liability Insurance</v>
      </c>
      <c r="B46" s="242">
        <f>'CLIN Pricing'!O33</f>
        <v>32376.131401737417</v>
      </c>
      <c r="C46" s="242">
        <f>'CLIN Pricing'!P33</f>
        <v>33347.415343789537</v>
      </c>
      <c r="D46" s="242">
        <f>'CLIN Pricing'!Q33</f>
        <v>34347.837804103219</v>
      </c>
      <c r="E46" s="242">
        <f>'CLIN Pricing'!R33</f>
        <v>35378.272938226335</v>
      </c>
      <c r="F46" s="242">
        <f>'CLIN Pricing'!S33</f>
        <v>36439.621126373117</v>
      </c>
      <c r="G46" s="242">
        <f>'CLIN Pricing'!T33</f>
        <v>171889.27861422964</v>
      </c>
      <c r="H46" s="242"/>
    </row>
    <row r="47" spans="1:8" ht="12.75" hidden="1" customHeight="1" x14ac:dyDescent="0.25">
      <c r="A47" t="str">
        <f>'CLIN Pricing'!B34</f>
        <v>Umbrella / Other Insurance</v>
      </c>
      <c r="B47" s="242">
        <f>'CLIN Pricing'!O34</f>
        <v>2722.2083577694025</v>
      </c>
      <c r="C47" s="242">
        <f>'CLIN Pricing'!P34</f>
        <v>2803.8746085024836</v>
      </c>
      <c r="D47" s="242">
        <f>'CLIN Pricing'!Q34</f>
        <v>2887.9908467575578</v>
      </c>
      <c r="E47" s="242">
        <f>'CLIN Pricing'!R34</f>
        <v>2974.6305721602857</v>
      </c>
      <c r="F47" s="242">
        <f>'CLIN Pricing'!S34</f>
        <v>3063.8694893250945</v>
      </c>
      <c r="G47" s="242">
        <f>'CLIN Pricing'!T34</f>
        <v>14452.573874514825</v>
      </c>
      <c r="H47" s="242"/>
    </row>
    <row r="48" spans="1:8" ht="12.75" hidden="1" customHeight="1" x14ac:dyDescent="0.25">
      <c r="A48" t="str">
        <f>'CLIN Pricing'!B35</f>
        <v>Total Operations / Support</v>
      </c>
      <c r="B48" s="242">
        <f>'CLIN Pricing'!O35</f>
        <v>84093.820670105895</v>
      </c>
      <c r="C48" s="242">
        <f>'CLIN Pricing'!P35</f>
        <v>86616.635290209058</v>
      </c>
      <c r="D48" s="242">
        <f>'CLIN Pricing'!Q35</f>
        <v>89215.134348915322</v>
      </c>
      <c r="E48" s="242">
        <f>'CLIN Pricing'!R35</f>
        <v>91891.588379382796</v>
      </c>
      <c r="F48" s="242">
        <f>'CLIN Pricing'!S35</f>
        <v>94648.336030764287</v>
      </c>
      <c r="G48" s="242">
        <f>'CLIN Pricing'!T35</f>
        <v>446465.51471937733</v>
      </c>
      <c r="H48" s="242"/>
    </row>
    <row r="49" spans="1:8" ht="12.75" hidden="1" customHeight="1" x14ac:dyDescent="0.25">
      <c r="A49" t="str">
        <f>'CLIN Pricing'!B36</f>
        <v>Administrative / HR / Payroll</v>
      </c>
      <c r="B49" s="242">
        <f>'CLIN Pricing'!O36</f>
        <v>0</v>
      </c>
      <c r="C49" s="242">
        <f>'CLIN Pricing'!P36</f>
        <v>0</v>
      </c>
      <c r="D49" s="242">
        <f>'CLIN Pricing'!Q36</f>
        <v>0</v>
      </c>
      <c r="E49" s="242">
        <f>'CLIN Pricing'!R36</f>
        <v>0</v>
      </c>
      <c r="F49" s="242">
        <f>'CLIN Pricing'!S36</f>
        <v>0</v>
      </c>
      <c r="G49" s="242">
        <f>'CLIN Pricing'!T36</f>
        <v>0</v>
      </c>
      <c r="H49" s="242"/>
    </row>
    <row r="50" spans="1:8" ht="12.75" hidden="1" customHeight="1" x14ac:dyDescent="0.25">
      <c r="A50" t="str">
        <f>'CLIN Pricing'!B37</f>
        <v>Accounting / Legal</v>
      </c>
      <c r="B50" s="242">
        <f>'CLIN Pricing'!O37</f>
        <v>0</v>
      </c>
      <c r="C50" s="242">
        <f>'CLIN Pricing'!P37</f>
        <v>0</v>
      </c>
      <c r="D50" s="242">
        <f>'CLIN Pricing'!Q37</f>
        <v>0</v>
      </c>
      <c r="E50" s="242">
        <f>'CLIN Pricing'!R37</f>
        <v>0</v>
      </c>
      <c r="F50" s="242">
        <f>'CLIN Pricing'!S37</f>
        <v>0</v>
      </c>
      <c r="G50" s="242">
        <f>'CLIN Pricing'!T37</f>
        <v>0</v>
      </c>
      <c r="H50" s="242"/>
    </row>
    <row r="51" spans="1:8" ht="12.75" hidden="1" customHeight="1" x14ac:dyDescent="0.25">
      <c r="A51" t="str">
        <f>'CLIN Pricing'!B38</f>
        <v>Corporate Overhead</v>
      </c>
      <c r="B51" s="242">
        <f>'CLIN Pricing'!O38</f>
        <v>36296.111436925356</v>
      </c>
      <c r="C51" s="242">
        <f>'CLIN Pricing'!P38</f>
        <v>37384.994780033121</v>
      </c>
      <c r="D51" s="242">
        <f>'CLIN Pricing'!Q38</f>
        <v>38506.544623434114</v>
      </c>
      <c r="E51" s="242">
        <f>'CLIN Pricing'!R38</f>
        <v>39661.740962137141</v>
      </c>
      <c r="F51" s="242">
        <f>'CLIN Pricing'!S38</f>
        <v>40851.593191001266</v>
      </c>
      <c r="G51" s="242">
        <f>'CLIN Pricing'!T38</f>
        <v>192700.98499353102</v>
      </c>
      <c r="H51" s="242"/>
    </row>
    <row r="52" spans="1:8" ht="12.75" hidden="1" customHeight="1" x14ac:dyDescent="0.25">
      <c r="A52" t="str">
        <f>'CLIN Pricing'!B39</f>
        <v>G&amp;A</v>
      </c>
      <c r="B52" s="242">
        <f>'CLIN Pricing'!O39</f>
        <v>29036.889149540286</v>
      </c>
      <c r="C52" s="242">
        <f>'CLIN Pricing'!P39</f>
        <v>29907.995824026497</v>
      </c>
      <c r="D52" s="242">
        <f>'CLIN Pricing'!Q39</f>
        <v>30805.235698747285</v>
      </c>
      <c r="E52" s="242">
        <f>'CLIN Pricing'!R39</f>
        <v>31729.392769709713</v>
      </c>
      <c r="F52" s="242">
        <f>'CLIN Pricing'!S39</f>
        <v>32681.274552800998</v>
      </c>
      <c r="G52" s="242">
        <f>'CLIN Pricing'!T39</f>
        <v>154160.78799482476</v>
      </c>
      <c r="H52" s="242"/>
    </row>
    <row r="53" spans="1:8" ht="12.75" hidden="1" customHeight="1" x14ac:dyDescent="0.25">
      <c r="A53" t="str">
        <f>'CLIN Pricing'!B40</f>
        <v>Profit / Fee</v>
      </c>
      <c r="B53" s="242">
        <f>'CLIN Pricing'!O40</f>
        <v>165393.75763466707</v>
      </c>
      <c r="C53" s="242">
        <f>'CLIN Pricing'!P40</f>
        <v>170355.57036370705</v>
      </c>
      <c r="D53" s="242">
        <f>'CLIN Pricing'!Q40</f>
        <v>175466.23747461828</v>
      </c>
      <c r="E53" s="242">
        <f>'CLIN Pricing'!R40</f>
        <v>180730.22459885688</v>
      </c>
      <c r="F53" s="242">
        <f>'CLIN Pricing'!S40</f>
        <v>186152.13133682258</v>
      </c>
      <c r="G53" s="242">
        <f>'CLIN Pricing'!T40</f>
        <v>878097.92140867189</v>
      </c>
      <c r="H53" s="242"/>
    </row>
    <row r="54" spans="1:8" ht="12.75" hidden="1" customHeight="1" x14ac:dyDescent="0.25">
      <c r="A54" t="str">
        <f>'CLIN Pricing'!B41</f>
        <v>Total Overhead / G&amp;A / Profit</v>
      </c>
      <c r="B54" s="242">
        <f>'CLIN Pricing'!O41</f>
        <v>230726.75822113268</v>
      </c>
      <c r="C54" s="242">
        <f>'CLIN Pricing'!P41</f>
        <v>237648.56096776674</v>
      </c>
      <c r="D54" s="242">
        <f>'CLIN Pricing'!Q41</f>
        <v>244778.01779679972</v>
      </c>
      <c r="E54" s="242">
        <f>'CLIN Pricing'!R41</f>
        <v>252121.35833070375</v>
      </c>
      <c r="F54" s="242">
        <f>'CLIN Pricing'!S41</f>
        <v>259684.9990806249</v>
      </c>
      <c r="G54" s="242">
        <f>'CLIN Pricing'!T41</f>
        <v>1224959.6943970278</v>
      </c>
      <c r="H54" s="242"/>
    </row>
    <row r="55" spans="1:8" ht="12.75" hidden="1" customHeight="1" x14ac:dyDescent="0.25">
      <c r="A55" t="str">
        <f>'CLIN Pricing'!B42</f>
        <v>Vehicle Cost per Labor Hour</v>
      </c>
      <c r="B55" s="242">
        <f>'CLIN Pricing'!O42</f>
        <v>30337.611517133537</v>
      </c>
      <c r="C55" s="242">
        <f>'CLIN Pricing'!P42</f>
        <v>31247.739862647544</v>
      </c>
      <c r="D55" s="242">
        <f>'CLIN Pricing'!Q42</f>
        <v>32185.172058526961</v>
      </c>
      <c r="E55" s="242">
        <f>'CLIN Pricing'!R42</f>
        <v>33150.727220282781</v>
      </c>
      <c r="F55" s="242">
        <f>'CLIN Pricing'!S42</f>
        <v>34145.249036891262</v>
      </c>
      <c r="G55" s="242">
        <f>'CLIN Pricing'!T42</f>
        <v>161066.49969548208</v>
      </c>
      <c r="H55" s="242"/>
    </row>
    <row r="56" spans="1:8" ht="12.75" hidden="1" customHeight="1" x14ac:dyDescent="0.25">
      <c r="A56" t="str">
        <f>'CLIN Pricing'!B43</f>
        <v>Uniform &amp; Equipment Cost per Labor Hour</v>
      </c>
      <c r="B56" s="242">
        <f>'CLIN Pricing'!O43</f>
        <v>9583.8415342341832</v>
      </c>
      <c r="C56" s="242">
        <f>'CLIN Pricing'!P43</f>
        <v>9871.3567802612088</v>
      </c>
      <c r="D56" s="242">
        <f>'CLIN Pricing'!Q43</f>
        <v>10167.497483669044</v>
      </c>
      <c r="E56" s="242">
        <f>'CLIN Pricing'!R43</f>
        <v>10472.522408179117</v>
      </c>
      <c r="F56" s="242">
        <f>'CLIN Pricing'!S43</f>
        <v>10786.69808042449</v>
      </c>
      <c r="G56" s="242">
        <f>'CLIN Pricing'!T43</f>
        <v>50881.916286768042</v>
      </c>
      <c r="H56" s="242"/>
    </row>
    <row r="57" spans="1:8" ht="12.75" hidden="1" customHeight="1" x14ac:dyDescent="0.25">
      <c r="A57" t="str">
        <f>'CLIN Pricing'!B44</f>
        <v>Training Program Cost per Labor Hour</v>
      </c>
      <c r="B57" s="242">
        <f>'CLIN Pricing'!O44</f>
        <v>19183.596733940845</v>
      </c>
      <c r="C57" s="242">
        <f>'CLIN Pricing'!P44</f>
        <v>19759.104635959073</v>
      </c>
      <c r="D57" s="242">
        <f>'CLIN Pricing'!Q44</f>
        <v>20351.877775037843</v>
      </c>
      <c r="E57" s="242">
        <f>'CLIN Pricing'!R44</f>
        <v>20962.43410828898</v>
      </c>
      <c r="F57" s="242">
        <f>'CLIN Pricing'!S44</f>
        <v>21591.307131537651</v>
      </c>
      <c r="G57" s="242">
        <f>'CLIN Pricing'!T44</f>
        <v>101848.3203847644</v>
      </c>
      <c r="H57" s="242"/>
    </row>
    <row r="58" spans="1:8" ht="12.75" hidden="1" customHeight="1" x14ac:dyDescent="0.25">
      <c r="A58" t="str">
        <f>'CLIN Pricing'!B45</f>
        <v>Total Bill Rate</v>
      </c>
      <c r="B58" s="242">
        <f>'CLIN Pricing'!O45</f>
        <v>752370.20226337377</v>
      </c>
      <c r="C58" s="242">
        <f>'CLIN Pricing'!P45</f>
        <v>774941.30833127501</v>
      </c>
      <c r="D58" s="242">
        <f>'CLIN Pricing'!Q45</f>
        <v>798189.54758121318</v>
      </c>
      <c r="E58" s="242">
        <f>'CLIN Pricing'!R45</f>
        <v>822135.23400864971</v>
      </c>
      <c r="F58" s="242">
        <f>'CLIN Pricing'!S45</f>
        <v>846799.29102890915</v>
      </c>
      <c r="G58" s="242">
        <f>'CLIN Pricing'!T45</f>
        <v>3994435.5832134206</v>
      </c>
      <c r="H58" s="242"/>
    </row>
    <row r="59" spans="1:8" ht="12.75" hidden="1" customHeight="1" x14ac:dyDescent="0.25">
      <c r="A59" t="str">
        <f>'CLIN Pricing'!B46</f>
        <v>Appraisal Benchmark Driver (Rate × Annual Hours)</v>
      </c>
      <c r="B59" s="242">
        <f>'CLIN Pricing'!O46</f>
        <v>1125127.602956919</v>
      </c>
      <c r="C59" s="242">
        <f>'CLIN Pricing'!P46</f>
        <v>1158881.4310456265</v>
      </c>
      <c r="D59" s="242">
        <f>'CLIN Pricing'!Q46</f>
        <v>1193647.8739769952</v>
      </c>
      <c r="E59" s="242">
        <f>'CLIN Pricing'!R46</f>
        <v>1229457.3101963054</v>
      </c>
      <c r="F59" s="242">
        <f>'CLIN Pricing'!S46</f>
        <v>1266341.0295021946</v>
      </c>
      <c r="G59" s="242">
        <f>'CLIN Pricing'!T46</f>
        <v>5973455.2476780405</v>
      </c>
      <c r="H59" s="242"/>
    </row>
    <row r="60" spans="1:8" ht="12.75" hidden="1" customHeight="1" x14ac:dyDescent="0.25">
      <c r="A60" t="str">
        <f>'CLIN Pricing'!B47</f>
        <v>Benchmark Delta vs Total Bill Rate</v>
      </c>
      <c r="B60" s="242">
        <f>'CLIN Pricing'!O47</f>
        <v>372757.40069354518</v>
      </c>
      <c r="C60" s="242">
        <f>'CLIN Pricing'!P47</f>
        <v>383940.12271435151</v>
      </c>
      <c r="D60" s="242">
        <f>'CLIN Pricing'!Q47</f>
        <v>395458.32639578194</v>
      </c>
      <c r="E60" s="242">
        <f>'CLIN Pricing'!R47</f>
        <v>407322.07618765562</v>
      </c>
      <c r="F60" s="242">
        <f>'CLIN Pricing'!S47</f>
        <v>419541.73847328528</v>
      </c>
      <c r="G60" s="242">
        <f>'CLIN Pricing'!T47</f>
        <v>1979019.6644646195</v>
      </c>
      <c r="H60" s="242"/>
    </row>
    <row r="61" spans="1:8" ht="12.75" hidden="1" customHeight="1" x14ac:dyDescent="0.25">
      <c r="A61" t="str">
        <f>'CLIN Pricing'!B48</f>
        <v>Mapped contract totals / allocated recovery check</v>
      </c>
      <c r="B61" s="242">
        <f>'CLIN Pricing'!O48</f>
        <v>4251650.2835980291</v>
      </c>
      <c r="C61" s="242">
        <f>'CLIN Pricing'!P48</f>
        <v>4379199.79210597</v>
      </c>
      <c r="D61" s="242">
        <f>'CLIN Pricing'!Q48</f>
        <v>4510575.7858691486</v>
      </c>
      <c r="E61" s="242">
        <f>'CLIN Pricing'!R48</f>
        <v>4645893.0594452238</v>
      </c>
      <c r="F61" s="242">
        <f>'CLIN Pricing'!S48</f>
        <v>4785269.8512285808</v>
      </c>
      <c r="G61" s="242">
        <f>'CLIN Pricing'!T48</f>
        <v>22572588.772246953</v>
      </c>
      <c r="H61" s="242"/>
    </row>
    <row r="62" spans="1:8" ht="12.75" hidden="1" customHeight="1" x14ac:dyDescent="0.25">
      <c r="A62" t="s">
        <v>641</v>
      </c>
      <c r="B62" s="242">
        <f>'CLIN Pricing'!O48</f>
        <v>4251650.2835980291</v>
      </c>
      <c r="C62" s="242">
        <f>'CLIN Pricing'!P48</f>
        <v>4379199.79210597</v>
      </c>
      <c r="D62" s="242">
        <f>'CLIN Pricing'!Q48</f>
        <v>4510575.7858691486</v>
      </c>
      <c r="E62" s="242">
        <f>'CLIN Pricing'!R48</f>
        <v>4645893.0594452238</v>
      </c>
      <c r="F62" s="242">
        <f>'CLIN Pricing'!S48</f>
        <v>4785269.8512285808</v>
      </c>
      <c r="G62" s="242">
        <f>'CLIN Pricing'!T48</f>
        <v>22572588.772246953</v>
      </c>
      <c r="H62" s="242"/>
    </row>
    <row r="63" spans="1:8" ht="12.75" hidden="1" customHeight="1" x14ac:dyDescent="0.25"/>
  </sheetData>
  <pageMargins left="0.7" right="0.7" top="0.75" bottom="0.75"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AC090"/>
  </sheetPr>
  <dimension ref="A1:J54"/>
  <sheetViews>
    <sheetView zoomScaleNormal="100" workbookViewId="0">
      <selection activeCell="G45" sqref="G45"/>
    </sheetView>
  </sheetViews>
  <sheetFormatPr defaultColWidth="8.6640625" defaultRowHeight="14.25" customHeight="1" x14ac:dyDescent="0.3"/>
  <cols>
    <col min="1" max="1" width="42" style="57" customWidth="1"/>
    <col min="2" max="3" width="18" style="57" customWidth="1"/>
    <col min="4" max="4" width="31.21875" style="57" customWidth="1"/>
    <col min="5" max="5" width="18" style="57" customWidth="1"/>
    <col min="6" max="6" width="14" style="57" customWidth="1"/>
    <col min="7" max="9" width="18" style="57" customWidth="1"/>
    <col min="10" max="10" width="13" style="57" customWidth="1"/>
  </cols>
  <sheetData>
    <row r="1" spans="1:5" customFormat="1" ht="14.25" customHeight="1" x14ac:dyDescent="0.25">
      <c r="A1" s="360" t="s">
        <v>642</v>
      </c>
      <c r="B1" s="360"/>
      <c r="C1" s="360"/>
      <c r="D1" s="360"/>
      <c r="E1" s="360"/>
    </row>
    <row r="2" spans="1:5" customFormat="1" ht="14.25" customHeight="1" x14ac:dyDescent="0.25">
      <c r="A2" s="361" t="s">
        <v>643</v>
      </c>
      <c r="B2" s="361"/>
      <c r="C2" s="361"/>
      <c r="D2" s="361"/>
      <c r="E2" s="361"/>
    </row>
    <row r="3" spans="1:5" customFormat="1" ht="15.75" customHeight="1" x14ac:dyDescent="0.25">
      <c r="A3" s="362" t="s">
        <v>644</v>
      </c>
      <c r="B3" s="362"/>
      <c r="C3" s="362"/>
      <c r="D3" s="59"/>
      <c r="E3" s="59"/>
    </row>
    <row r="4" spans="1:5" customFormat="1" ht="14.25" customHeight="1" x14ac:dyDescent="0.25">
      <c r="A4" s="143" t="s">
        <v>9</v>
      </c>
      <c r="B4" s="243">
        <f>Appraisal_Full_Scope_Report!$F$15</f>
        <v>17472</v>
      </c>
    </row>
    <row r="5" spans="1:5" customFormat="1" ht="14.25" customHeight="1" x14ac:dyDescent="0.25">
      <c r="A5" s="143" t="s">
        <v>56</v>
      </c>
      <c r="B5" s="243">
        <f>Appraisal_Full_Scope_Report!$H$16</f>
        <v>12</v>
      </c>
    </row>
    <row r="6" spans="1:5" customFormat="1" ht="14.25" customHeight="1" x14ac:dyDescent="0.25">
      <c r="A6" s="143" t="s">
        <v>1008</v>
      </c>
      <c r="B6" s="154">
        <f>Appraisal_Full_Scope_Report!$F$8</f>
        <v>129.97639002857142</v>
      </c>
    </row>
    <row r="7" spans="1:5" customFormat="1" ht="14.25" customHeight="1" x14ac:dyDescent="0.25">
      <c r="A7" s="140" t="s">
        <v>645</v>
      </c>
      <c r="B7" s="154">
        <f>Appraisal_Full_Scope_Report!$F$19</f>
        <v>2270947.4865791998</v>
      </c>
    </row>
    <row r="8" spans="1:5" customFormat="1" ht="14.25" hidden="1" customHeight="1" x14ac:dyDescent="0.25">
      <c r="A8" s="143" t="s">
        <v>646</v>
      </c>
      <c r="B8" s="244">
        <f>Uniform_Equipment!C35</f>
        <v>19343.939999999999</v>
      </c>
    </row>
    <row r="9" spans="1:5" customFormat="1" ht="14.25" customHeight="1" x14ac:dyDescent="0.25">
      <c r="A9" s="140" t="s">
        <v>647</v>
      </c>
      <c r="B9" s="154">
        <f>Appraisal_Full_Scope_Report!$H$8</f>
        <v>90.983473019999991</v>
      </c>
    </row>
    <row r="10" spans="1:5" customFormat="1" ht="14.25" customHeight="1" x14ac:dyDescent="0.25">
      <c r="A10" s="140" t="s">
        <v>648</v>
      </c>
      <c r="B10" s="154">
        <f>Vendor_Pricing!B6</f>
        <v>63.688431113999989</v>
      </c>
    </row>
    <row r="11" spans="1:5" customFormat="1" ht="14.25" customHeight="1" x14ac:dyDescent="0.25">
      <c r="A11" s="140" t="s">
        <v>649</v>
      </c>
      <c r="B11" s="245">
        <f>Vendor_Pricing!B7</f>
        <v>77.335952066999994</v>
      </c>
    </row>
    <row r="12" spans="1:5" customFormat="1" ht="14.25" customHeight="1" x14ac:dyDescent="0.25">
      <c r="A12" s="140" t="s">
        <v>650</v>
      </c>
      <c r="B12" s="154">
        <f>Vendor_Pricing!B8</f>
        <v>90.983473019999991</v>
      </c>
    </row>
    <row r="13" spans="1:5" customFormat="1" ht="14.25" customHeight="1" x14ac:dyDescent="0.25">
      <c r="A13" s="140" t="s">
        <v>651</v>
      </c>
      <c r="B13" s="154">
        <f>Appraisal_Full_Scope_Report!$J$8</f>
        <v>38.992917008571425</v>
      </c>
    </row>
    <row r="14" spans="1:5" customFormat="1" ht="14.25" customHeight="1" x14ac:dyDescent="0.25">
      <c r="A14" s="143" t="s">
        <v>22</v>
      </c>
      <c r="B14" s="154">
        <f>Appraisal_Full_Scope_Report!$H$20</f>
        <v>681284.24597376003</v>
      </c>
    </row>
    <row r="15" spans="1:5" customFormat="1" ht="14.25" hidden="1" customHeight="1" x14ac:dyDescent="0.25">
      <c r="A15" s="143" t="s">
        <v>652</v>
      </c>
      <c r="B15" s="244">
        <f>Vehicle!C29</f>
        <v>61233.163636363635</v>
      </c>
    </row>
    <row r="16" spans="1:5" customFormat="1" ht="27.75" hidden="1" customHeight="1" x14ac:dyDescent="0.25">
      <c r="A16" s="140" t="s">
        <v>653</v>
      </c>
      <c r="B16" s="154">
        <f>Appraisal_Full_Scope_Report!$H$20</f>
        <v>681284.24597376003</v>
      </c>
    </row>
    <row r="17" spans="1:5" customFormat="1" ht="13.5" customHeight="1" x14ac:dyDescent="0.25"/>
    <row r="18" spans="1:5" customFormat="1" ht="15.75" hidden="1" customHeight="1" x14ac:dyDescent="0.25">
      <c r="A18" s="58" t="s">
        <v>654</v>
      </c>
      <c r="B18" s="59"/>
      <c r="C18" s="59"/>
      <c r="D18" s="59"/>
      <c r="E18" s="59"/>
    </row>
    <row r="19" spans="1:5" customFormat="1" ht="10.5" hidden="1" customHeight="1" x14ac:dyDescent="0.25">
      <c r="A19" s="85" t="s">
        <v>646</v>
      </c>
      <c r="B19" s="150">
        <f>Uniform_Equipment!C35</f>
        <v>19343.939999999999</v>
      </c>
    </row>
    <row r="20" spans="1:5" customFormat="1" ht="15.75" hidden="1" customHeight="1" x14ac:dyDescent="0.25">
      <c r="A20" s="58" t="s">
        <v>655</v>
      </c>
      <c r="B20" s="59"/>
      <c r="C20" s="59"/>
      <c r="D20" s="59"/>
      <c r="E20" s="59"/>
    </row>
    <row r="21" spans="1:5" customFormat="1" ht="10.5" hidden="1" customHeight="1" x14ac:dyDescent="0.25">
      <c r="A21" s="63" t="s">
        <v>656</v>
      </c>
      <c r="B21" s="89">
        <f>Appraisal_Full_Scope_Report!$H$20</f>
        <v>681284.24597376003</v>
      </c>
    </row>
    <row r="22" spans="1:5" customFormat="1" ht="10.5" hidden="1" customHeight="1" x14ac:dyDescent="0.25">
      <c r="A22" s="63" t="s">
        <v>657</v>
      </c>
      <c r="B22" s="89">
        <f>Buyer_Vendor_Comparison!D10</f>
        <v>919733.73206457589</v>
      </c>
    </row>
    <row r="23" spans="1:5" customFormat="1" ht="10.5" hidden="1" customHeight="1" x14ac:dyDescent="0.25">
      <c r="A23" s="63" t="s">
        <v>658</v>
      </c>
      <c r="B23" s="89">
        <f>Buyer_Vendor_Comparison!E10</f>
        <v>1158183.218155392</v>
      </c>
    </row>
    <row r="24" spans="1:5" customFormat="1" ht="10.5" hidden="1" customHeight="1" x14ac:dyDescent="0.25">
      <c r="A24" s="63" t="s">
        <v>659</v>
      </c>
      <c r="B24" s="89">
        <f>Government_TCO!D37</f>
        <v>14.46</v>
      </c>
    </row>
    <row r="25" spans="1:5" customFormat="1" ht="10.5" hidden="1" customHeight="1" x14ac:dyDescent="0.25">
      <c r="A25" s="63" t="s">
        <v>660</v>
      </c>
      <c r="B25" s="89">
        <f>Government_TCO!D39</f>
        <v>0</v>
      </c>
    </row>
    <row r="27" spans="1:5" customFormat="1" ht="14.25" hidden="1" customHeight="1" x14ac:dyDescent="0.25">
      <c r="A27" s="388" t="s">
        <v>661</v>
      </c>
      <c r="B27" s="388"/>
      <c r="C27" s="388"/>
      <c r="D27" s="388"/>
    </row>
    <row r="28" spans="1:5" customFormat="1" ht="14.25" hidden="1" customHeight="1" x14ac:dyDescent="0.25">
      <c r="A28" s="246" t="s">
        <v>75</v>
      </c>
      <c r="B28" s="246" t="s">
        <v>241</v>
      </c>
      <c r="C28" s="246" t="s">
        <v>662</v>
      </c>
      <c r="D28" s="246" t="s">
        <v>63</v>
      </c>
    </row>
    <row r="29" spans="1:5" customFormat="1" ht="14.25" hidden="1" customHeight="1" x14ac:dyDescent="0.25">
      <c r="A29" s="194" t="s">
        <v>663</v>
      </c>
      <c r="B29" s="195">
        <f>Vendor_Pricing!$B$4</f>
        <v>129.97639002857142</v>
      </c>
      <c r="C29" s="247" t="s">
        <v>664</v>
      </c>
      <c r="D29" s="247" t="s">
        <v>665</v>
      </c>
    </row>
    <row r="30" spans="1:5" customFormat="1" ht="14.25" hidden="1" customHeight="1" x14ac:dyDescent="0.25">
      <c r="A30" s="194" t="s">
        <v>400</v>
      </c>
      <c r="B30" s="195">
        <f>Vendor_Pricing!$B$5</f>
        <v>90.983473019999991</v>
      </c>
      <c r="C30" s="247" t="s">
        <v>666</v>
      </c>
      <c r="D30" s="247" t="s">
        <v>667</v>
      </c>
    </row>
    <row r="31" spans="1:5" customFormat="1" ht="14.25" hidden="1" customHeight="1" x14ac:dyDescent="0.25">
      <c r="A31" s="194" t="s">
        <v>668</v>
      </c>
      <c r="B31" s="195">
        <f>Vendor_Pricing!$B$6</f>
        <v>63.688431113999989</v>
      </c>
      <c r="C31" s="247" t="s">
        <v>669</v>
      </c>
      <c r="D31" s="247" t="s">
        <v>670</v>
      </c>
    </row>
    <row r="32" spans="1:5" customFormat="1" ht="14.25" hidden="1" customHeight="1" x14ac:dyDescent="0.25">
      <c r="A32" s="194" t="s">
        <v>649</v>
      </c>
      <c r="B32" s="195">
        <f>Vendor_Pricing!$B$7</f>
        <v>77.335952066999994</v>
      </c>
      <c r="C32" s="247" t="s">
        <v>671</v>
      </c>
      <c r="D32" s="247" t="s">
        <v>672</v>
      </c>
    </row>
    <row r="33" spans="1:5" customFormat="1" ht="14.25" hidden="1" customHeight="1" x14ac:dyDescent="0.25">
      <c r="A33" s="194" t="s">
        <v>673</v>
      </c>
      <c r="B33" s="195">
        <f>Vendor_Pricing!$B$8</f>
        <v>90.983473019999991</v>
      </c>
      <c r="C33" s="247" t="s">
        <v>674</v>
      </c>
      <c r="D33" s="247" t="s">
        <v>675</v>
      </c>
    </row>
    <row r="34" spans="1:5" customFormat="1" ht="14.25" hidden="1" customHeight="1" x14ac:dyDescent="0.25">
      <c r="A34" s="194" t="s">
        <v>676</v>
      </c>
      <c r="B34" s="195">
        <f>Vendor_Pricing!$B$9</f>
        <v>38.992917008571425</v>
      </c>
      <c r="C34" s="247" t="s">
        <v>677</v>
      </c>
      <c r="D34" s="247" t="s">
        <v>678</v>
      </c>
    </row>
    <row r="35" spans="1:5" customFormat="1" ht="14.25" hidden="1" customHeight="1" x14ac:dyDescent="0.25">
      <c r="A35" s="194" t="s">
        <v>679</v>
      </c>
      <c r="B35" s="195">
        <f>Vendor_Pricing!$B$10</f>
        <v>681284.24597376003</v>
      </c>
      <c r="C35" s="247" t="s">
        <v>680</v>
      </c>
      <c r="D35" s="247" t="s">
        <v>681</v>
      </c>
    </row>
    <row r="36" spans="1:5" customFormat="1" ht="14.25" hidden="1" customHeight="1" x14ac:dyDescent="0.25">
      <c r="A36" s="194" t="s">
        <v>172</v>
      </c>
      <c r="B36" s="195">
        <f>Vendor_Pricing!$B$11</f>
        <v>1500</v>
      </c>
      <c r="C36" s="247" t="s">
        <v>682</v>
      </c>
      <c r="D36" s="247" t="s">
        <v>683</v>
      </c>
    </row>
    <row r="37" spans="1:5" customFormat="1" ht="14.25" hidden="1" customHeight="1" x14ac:dyDescent="0.25">
      <c r="A37" s="194" t="s">
        <v>684</v>
      </c>
      <c r="B37" s="195">
        <f>Vendor_Pricing!$B$12</f>
        <v>64.785000000000011</v>
      </c>
      <c r="C37" s="247" t="s">
        <v>685</v>
      </c>
      <c r="D37" s="247" t="s">
        <v>686</v>
      </c>
    </row>
    <row r="39" spans="1:5" customFormat="1" ht="14.25" customHeight="1" x14ac:dyDescent="0.25">
      <c r="A39" s="388" t="s">
        <v>687</v>
      </c>
      <c r="B39" s="388"/>
      <c r="C39" s="388"/>
      <c r="D39" s="388"/>
      <c r="E39" s="388"/>
    </row>
    <row r="40" spans="1:5" customFormat="1" ht="14.25" customHeight="1" x14ac:dyDescent="0.25">
      <c r="A40" s="248" t="s">
        <v>75</v>
      </c>
      <c r="B40" s="248" t="s">
        <v>688</v>
      </c>
      <c r="C40" s="248" t="s">
        <v>77</v>
      </c>
      <c r="D40" s="248" t="s">
        <v>78</v>
      </c>
      <c r="E40" s="248" t="s">
        <v>79</v>
      </c>
    </row>
    <row r="41" spans="1:5" customFormat="1" ht="14.25" customHeight="1" x14ac:dyDescent="0.25">
      <c r="A41" s="194" t="s">
        <v>9</v>
      </c>
      <c r="B41" s="249">
        <f>Buyer_Vendor_Comparison!$B$5</f>
        <v>17472</v>
      </c>
      <c r="C41" s="249">
        <f>Buyer_Vendor_Comparison!$C$5</f>
        <v>17472</v>
      </c>
      <c r="D41" s="249">
        <f>Buyer_Vendor_Comparison!$D$5</f>
        <v>17472</v>
      </c>
      <c r="E41" s="249">
        <f>Buyer_Vendor_Comparison!$E$5</f>
        <v>17472</v>
      </c>
    </row>
    <row r="42" spans="1:5" customFormat="1" ht="14.25" customHeight="1" x14ac:dyDescent="0.25">
      <c r="A42" s="194" t="s">
        <v>56</v>
      </c>
      <c r="B42" s="250">
        <f>Buyer_Vendor_Comparison!$B$6</f>
        <v>12</v>
      </c>
      <c r="C42" s="250">
        <f>Buyer_Vendor_Comparison!$C$6</f>
        <v>12</v>
      </c>
      <c r="D42" s="250">
        <f>Buyer_Vendor_Comparison!$D$6</f>
        <v>12</v>
      </c>
      <c r="E42" s="250">
        <f>Buyer_Vendor_Comparison!$E$6</f>
        <v>12</v>
      </c>
    </row>
    <row r="43" spans="1:5" customFormat="1" ht="14.25" customHeight="1" x14ac:dyDescent="0.25">
      <c r="A43" s="194" t="s">
        <v>689</v>
      </c>
      <c r="B43" s="195">
        <f>Buyer_Vendor_Comparison!$B$7</f>
        <v>129.97639002857142</v>
      </c>
      <c r="C43" s="195">
        <f>Buyer_Vendor_Comparison!$C$7</f>
        <v>90.983473019999991</v>
      </c>
      <c r="D43" s="195">
        <f>Buyer_Vendor_Comparison!$D$7</f>
        <v>77.335952066999994</v>
      </c>
      <c r="E43" s="195">
        <f>Buyer_Vendor_Comparison!$E$7</f>
        <v>63.688431113999989</v>
      </c>
    </row>
    <row r="44" spans="1:5" customFormat="1" ht="14.25" customHeight="1" x14ac:dyDescent="0.25">
      <c r="A44" s="194" t="s">
        <v>81</v>
      </c>
      <c r="B44" s="195">
        <f>Buyer_Vendor_Comparison!$B$8</f>
        <v>2270947.4865791998</v>
      </c>
      <c r="C44" s="195">
        <f>Buyer_Vendor_Comparison!$C$8</f>
        <v>1589663.2406054398</v>
      </c>
      <c r="D44" s="195">
        <f>Buyer_Vendor_Comparison!$D$8</f>
        <v>1351213.7545146239</v>
      </c>
      <c r="E44" s="195">
        <f>Buyer_Vendor_Comparison!$E$8</f>
        <v>1112764.2684238078</v>
      </c>
    </row>
    <row r="45" spans="1:5" customFormat="1" ht="14.25" customHeight="1" x14ac:dyDescent="0.25">
      <c r="A45" s="194" t="s">
        <v>82</v>
      </c>
      <c r="B45" s="251" t="str">
        <f ca="1">IFERROR(B45-C45,"-")</f>
        <v>-</v>
      </c>
      <c r="C45" s="195">
        <f>Buyer_Vendor_Comparison!$C$9</f>
        <v>38.992917008571425</v>
      </c>
      <c r="D45" s="195">
        <f>Buyer_Vendor_Comparison!$D$9</f>
        <v>52.640437961571422</v>
      </c>
      <c r="E45" s="195">
        <f>Buyer_Vendor_Comparison!$E$9</f>
        <v>66.287958914571419</v>
      </c>
    </row>
    <row r="46" spans="1:5" customFormat="1" ht="14.25" customHeight="1" x14ac:dyDescent="0.25">
      <c r="A46" s="194" t="s">
        <v>679</v>
      </c>
      <c r="B46" s="251" t="str">
        <f ca="1">IFERROR(B46-C46,"-")</f>
        <v>-</v>
      </c>
      <c r="C46" s="195">
        <f>Buyer_Vendor_Comparison!$C$10</f>
        <v>681284.24597376003</v>
      </c>
      <c r="D46" s="195">
        <f>Buyer_Vendor_Comparison!$D$10</f>
        <v>919733.73206457589</v>
      </c>
      <c r="E46" s="195">
        <f>Buyer_Vendor_Comparison!$E$10</f>
        <v>1158183.218155392</v>
      </c>
    </row>
    <row r="47" spans="1:5" customFormat="1" ht="14.25" customHeight="1" x14ac:dyDescent="0.25">
      <c r="A47" s="194" t="s">
        <v>84</v>
      </c>
      <c r="B47" s="251"/>
      <c r="C47" s="195">
        <f>Buyer_Vendor_Comparison!$C$11</f>
        <v>0.30000000000000004</v>
      </c>
      <c r="D47" s="195">
        <f>Buyer_Vendor_Comparison!$D$11</f>
        <v>0.40499999999999997</v>
      </c>
      <c r="E47" s="195">
        <f>Buyer_Vendor_Comparison!$E$11</f>
        <v>0.51</v>
      </c>
    </row>
    <row r="49" spans="1:2" customFormat="1" ht="14.25" hidden="1" customHeight="1" x14ac:dyDescent="0.25">
      <c r="A49" s="161" t="s">
        <v>690</v>
      </c>
    </row>
    <row r="50" spans="1:2" customFormat="1" ht="14.25" hidden="1" customHeight="1" x14ac:dyDescent="0.25">
      <c r="A50" s="194" t="s">
        <v>691</v>
      </c>
      <c r="B50" s="195">
        <f>Buyer_Vendor_Comparison!$B$22</f>
        <v>2270947.4865791998</v>
      </c>
    </row>
    <row r="51" spans="1:2" customFormat="1" ht="14.25" hidden="1" customHeight="1" x14ac:dyDescent="0.25">
      <c r="A51" s="194" t="s">
        <v>692</v>
      </c>
      <c r="B51" s="195">
        <f>Buyer_Vendor_Comparison!$B$23</f>
        <v>1589663.2406054398</v>
      </c>
    </row>
    <row r="52" spans="1:2" customFormat="1" ht="14.25" hidden="1" customHeight="1" x14ac:dyDescent="0.25">
      <c r="A52" s="194" t="s">
        <v>693</v>
      </c>
      <c r="B52" s="195">
        <f>Buyer_Vendor_Comparison!$B$24</f>
        <v>298912.73505320301</v>
      </c>
    </row>
    <row r="53" spans="1:2" customFormat="1" ht="14.25" hidden="1" customHeight="1" x14ac:dyDescent="0.25">
      <c r="A53" s="194" t="s">
        <v>694</v>
      </c>
      <c r="B53" s="195">
        <f>Buyer_Vendor_Comparison!$B$25</f>
        <v>246163.42886734364</v>
      </c>
    </row>
    <row r="54" spans="1:2" customFormat="1" ht="14.25" hidden="1" customHeight="1" x14ac:dyDescent="0.25">
      <c r="A54" s="194" t="s">
        <v>695</v>
      </c>
      <c r="B54" s="195">
        <f>Buyer_Vendor_Comparison!$B$26</f>
        <v>2024784.0577118562</v>
      </c>
    </row>
  </sheetData>
  <mergeCells count="5">
    <mergeCell ref="A1:E1"/>
    <mergeCell ref="A2:E2"/>
    <mergeCell ref="A3:C3"/>
    <mergeCell ref="A27:D27"/>
    <mergeCell ref="A39:E39"/>
  </mergeCells>
  <pageMargins left="0.7" right="0.7" top="0.75" bottom="0.75" header="0.511811023622047" footer="0.511811023622047"/>
  <pageSetup paperSize="9" orientation="portrait" horizontalDpi="300" verticalDpi="30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28"/>
  <sheetViews>
    <sheetView zoomScaleNormal="100" workbookViewId="0"/>
  </sheetViews>
  <sheetFormatPr defaultColWidth="8.6640625" defaultRowHeight="12.75" customHeight="1" x14ac:dyDescent="0.25"/>
  <cols>
    <col min="1" max="1" width="47.33203125" customWidth="1"/>
    <col min="2" max="2" width="16" customWidth="1"/>
  </cols>
  <sheetData>
    <row r="1" spans="1:2" ht="8.25" customHeight="1" x14ac:dyDescent="0.3">
      <c r="A1" s="252" t="s">
        <v>696</v>
      </c>
      <c r="B1" s="252"/>
    </row>
    <row r="3" spans="1:2" ht="10.5" customHeight="1" x14ac:dyDescent="0.25">
      <c r="A3" s="253" t="s">
        <v>697</v>
      </c>
      <c r="B3" s="253" t="s">
        <v>698</v>
      </c>
    </row>
    <row r="4" spans="1:2" ht="12.75" customHeight="1" x14ac:dyDescent="0.25">
      <c r="A4" s="162" t="s">
        <v>699</v>
      </c>
      <c r="B4" s="254">
        <f>Government_TCO!B12</f>
        <v>2270947.4865791998</v>
      </c>
    </row>
    <row r="5" spans="1:2" ht="12.75" customHeight="1" x14ac:dyDescent="0.25">
      <c r="A5" s="162" t="s">
        <v>700</v>
      </c>
      <c r="B5" s="254">
        <f>Government_TCO!B13</f>
        <v>1589663.2406054398</v>
      </c>
    </row>
    <row r="6" spans="1:2" ht="12.75" customHeight="1" x14ac:dyDescent="0.25">
      <c r="A6" s="162" t="s">
        <v>701</v>
      </c>
      <c r="B6" s="254">
        <f>Government_TCO!B15</f>
        <v>681284.24597376003</v>
      </c>
    </row>
    <row r="7" spans="1:2" ht="12.75" customHeight="1" x14ac:dyDescent="0.25">
      <c r="A7" s="162"/>
      <c r="B7" s="162"/>
    </row>
    <row r="8" spans="1:2" ht="10.5" customHeight="1" x14ac:dyDescent="0.25">
      <c r="A8" s="253" t="s">
        <v>702</v>
      </c>
      <c r="B8" s="253"/>
    </row>
    <row r="9" spans="1:2" ht="10.5" customHeight="1" x14ac:dyDescent="0.25">
      <c r="A9" s="255" t="s">
        <v>703</v>
      </c>
      <c r="B9" s="255" t="s">
        <v>704</v>
      </c>
    </row>
    <row r="10" spans="1:2" ht="12.75" customHeight="1" x14ac:dyDescent="0.25">
      <c r="A10" s="162" t="s">
        <v>64</v>
      </c>
      <c r="B10" s="254">
        <f>Direct_Labor!D11</f>
        <v>732597.4656</v>
      </c>
    </row>
    <row r="11" spans="1:2" ht="12.75" customHeight="1" x14ac:dyDescent="0.25">
      <c r="A11" s="162" t="s">
        <v>705</v>
      </c>
      <c r="B11" s="254">
        <f>Direct_Labor!D22</f>
        <v>14651.949312000001</v>
      </c>
    </row>
    <row r="12" spans="1:2" ht="12.75" customHeight="1" x14ac:dyDescent="0.25">
      <c r="A12" s="162" t="s">
        <v>525</v>
      </c>
      <c r="B12" s="254">
        <f>Workforce_Maintenance_Module!E7</f>
        <v>15029.440000000002</v>
      </c>
    </row>
    <row r="13" spans="1:2" ht="12.75" customHeight="1" x14ac:dyDescent="0.25">
      <c r="A13" s="162" t="s">
        <v>527</v>
      </c>
      <c r="B13" s="254">
        <f>Training_Module!J9</f>
        <v>38720.000000000007</v>
      </c>
    </row>
    <row r="14" spans="1:2" ht="12.75" customHeight="1" x14ac:dyDescent="0.25">
      <c r="A14" s="162" t="s">
        <v>706</v>
      </c>
      <c r="B14" s="254">
        <f>Uniform_Equipment!C35</f>
        <v>19343.939999999999</v>
      </c>
    </row>
    <row r="15" spans="1:2" ht="12.75" customHeight="1" x14ac:dyDescent="0.25">
      <c r="A15" s="162" t="s">
        <v>707</v>
      </c>
      <c r="B15" s="254">
        <f>SUM(Overhead_GA!D4:D7)</f>
        <v>131867.54380799999</v>
      </c>
    </row>
    <row r="16" spans="1:2" ht="10.5" customHeight="1" x14ac:dyDescent="0.25">
      <c r="A16" s="253" t="s">
        <v>708</v>
      </c>
      <c r="B16" s="253"/>
    </row>
    <row r="17" spans="1:2" ht="10.5" customHeight="1" x14ac:dyDescent="0.25">
      <c r="A17" s="255" t="s">
        <v>709</v>
      </c>
      <c r="B17" s="255" t="s">
        <v>710</v>
      </c>
    </row>
    <row r="18" spans="1:2" ht="12.75" customHeight="1" x14ac:dyDescent="0.25">
      <c r="A18" s="162" t="s">
        <v>711</v>
      </c>
      <c r="B18" s="160">
        <f>Vendor_Pricing!B6</f>
        <v>63.688431113999989</v>
      </c>
    </row>
    <row r="19" spans="1:2" ht="12.75" customHeight="1" x14ac:dyDescent="0.25">
      <c r="A19" s="162" t="s">
        <v>649</v>
      </c>
      <c r="B19" s="160">
        <f>Vendor_Pricing!B7</f>
        <v>77.335952066999994</v>
      </c>
    </row>
    <row r="20" spans="1:2" ht="12.75" customHeight="1" x14ac:dyDescent="0.25">
      <c r="A20" s="162" t="s">
        <v>400</v>
      </c>
      <c r="B20" s="160">
        <f>Vendor_Pricing!B8</f>
        <v>90.983473019999991</v>
      </c>
    </row>
    <row r="21" spans="1:2" ht="6.75" hidden="1" customHeight="1" x14ac:dyDescent="0.25">
      <c r="A21" s="162"/>
      <c r="B21" s="162"/>
    </row>
    <row r="22" spans="1:2" ht="6.75" hidden="1" customHeight="1" x14ac:dyDescent="0.25">
      <c r="A22" s="253" t="s">
        <v>712</v>
      </c>
      <c r="B22" s="253"/>
    </row>
    <row r="23" spans="1:2" ht="6.75" hidden="1" customHeight="1" x14ac:dyDescent="0.25">
      <c r="A23" s="255" t="s">
        <v>713</v>
      </c>
      <c r="B23" s="256" t="s">
        <v>714</v>
      </c>
    </row>
    <row r="24" spans="1:2" ht="6.75" hidden="1" customHeight="1" x14ac:dyDescent="0.25">
      <c r="A24" s="162">
        <v>1</v>
      </c>
      <c r="B24" s="254">
        <f>Government_TCO!B15*(1/12)</f>
        <v>56773.687164479998</v>
      </c>
    </row>
    <row r="25" spans="1:2" ht="6.75" hidden="1" customHeight="1" x14ac:dyDescent="0.25">
      <c r="A25" s="162">
        <v>3</v>
      </c>
      <c r="B25" s="254">
        <f>Government_TCO!B15*(3/12)</f>
        <v>170321.06149344001</v>
      </c>
    </row>
    <row r="26" spans="1:2" ht="6.75" hidden="1" customHeight="1" x14ac:dyDescent="0.25">
      <c r="A26" s="162">
        <v>6</v>
      </c>
      <c r="B26" s="254">
        <f>Government_TCO!B15*(6/12)</f>
        <v>340642.12298688001</v>
      </c>
    </row>
    <row r="27" spans="1:2" ht="6.75" hidden="1" customHeight="1" x14ac:dyDescent="0.25">
      <c r="A27" s="162">
        <v>8</v>
      </c>
      <c r="B27" s="254">
        <f>Government_TCO!B15*(8/12)</f>
        <v>454189.49731583998</v>
      </c>
    </row>
    <row r="28" spans="1:2" ht="6.75" hidden="1" customHeight="1" x14ac:dyDescent="0.25">
      <c r="A28" s="162">
        <v>12</v>
      </c>
      <c r="B28" s="254">
        <f>Government_TCO!B15</f>
        <v>681284.24597376003</v>
      </c>
    </row>
  </sheetData>
  <pageMargins left="0.7" right="0.7" top="0.75" bottom="0.75"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N59"/>
  <sheetViews>
    <sheetView zoomScaleNormal="100" workbookViewId="0"/>
  </sheetViews>
  <sheetFormatPr defaultColWidth="8.6640625" defaultRowHeight="14.25" customHeight="1" x14ac:dyDescent="0.3"/>
  <cols>
    <col min="1" max="1" width="4" style="57" customWidth="1"/>
    <col min="2" max="2" width="30" style="57" customWidth="1"/>
    <col min="3" max="3" width="18" style="57" customWidth="1"/>
    <col min="4" max="4" width="4" style="57" customWidth="1"/>
    <col min="5" max="8" width="16" style="57" customWidth="1"/>
    <col min="10" max="14" width="13" style="57" hidden="1" customWidth="1"/>
  </cols>
  <sheetData>
    <row r="1" spans="2:10" customFormat="1" ht="16.5" customHeight="1" x14ac:dyDescent="0.25">
      <c r="B1" s="389" t="s">
        <v>715</v>
      </c>
      <c r="C1" s="389"/>
      <c r="D1" s="389"/>
      <c r="E1" s="389"/>
      <c r="F1" s="389"/>
      <c r="G1" s="389"/>
      <c r="H1" s="389"/>
    </row>
    <row r="2" spans="2:10" customFormat="1" ht="8.25" customHeight="1" x14ac:dyDescent="0.3">
      <c r="B2" s="390" t="s">
        <v>716</v>
      </c>
      <c r="C2" s="390"/>
      <c r="D2" s="390"/>
      <c r="E2" s="390"/>
      <c r="F2" s="390"/>
      <c r="G2" s="390"/>
      <c r="H2" s="390"/>
      <c r="J2" s="257">
        <f>IF(IFERROR(_Calc_Backend!$U$5,0)&gt;0,_Calc_Backend!$U$5,_Calc_Backend!$X$36)</f>
        <v>336</v>
      </c>
    </row>
    <row r="3" spans="2:10" customFormat="1" ht="15.75" customHeight="1" x14ac:dyDescent="0.3">
      <c r="B3" s="391" t="s">
        <v>717</v>
      </c>
      <c r="C3" s="391"/>
      <c r="D3" s="391"/>
      <c r="E3" s="391"/>
      <c r="F3" s="391"/>
      <c r="G3" s="391"/>
      <c r="H3" s="391"/>
      <c r="J3" s="258">
        <f>IF(IFERROR(_Calc_Backend!$U$5,0)&gt;0,_Calc_Backend!$U$15,Vendor_Pricing!B7)</f>
        <v>64.785000000000011</v>
      </c>
    </row>
    <row r="4" spans="2:10" customFormat="1" ht="13.5" customHeight="1" x14ac:dyDescent="0.3">
      <c r="J4" s="258">
        <f>IF(IFERROR(_Calc_Backend!$U$5,0)&gt;0,_Calc_Backend!$U$14,Direct_Labor!C11)</f>
        <v>33.74</v>
      </c>
    </row>
    <row r="5" spans="2:10" customFormat="1" ht="13.5" customHeight="1" x14ac:dyDescent="0.3">
      <c r="J5" s="259">
        <f>Direct_Labor!C5</f>
        <v>0</v>
      </c>
    </row>
    <row r="6" spans="2:10" customFormat="1" ht="13.5" customHeight="1" x14ac:dyDescent="0.3">
      <c r="J6" s="259">
        <f>Direct_Labor!C7</f>
        <v>4.22</v>
      </c>
    </row>
    <row r="7" spans="2:10" customFormat="1" ht="13.5" customHeight="1" x14ac:dyDescent="0.3">
      <c r="B7" s="369" t="s">
        <v>718</v>
      </c>
      <c r="C7" s="369"/>
      <c r="D7" s="369"/>
      <c r="E7" s="369"/>
      <c r="F7" s="369"/>
      <c r="G7" s="369"/>
      <c r="H7" s="369"/>
      <c r="J7" s="57">
        <f>Direct_Labor!C23</f>
        <v>1.677192</v>
      </c>
    </row>
    <row r="8" spans="2:10" customFormat="1" ht="13.5" customHeight="1" x14ac:dyDescent="0.3">
      <c r="B8" s="392" t="s">
        <v>222</v>
      </c>
      <c r="C8" s="392"/>
      <c r="D8" s="392"/>
      <c r="E8" s="392"/>
      <c r="F8" s="374">
        <f>J2</f>
        <v>336</v>
      </c>
      <c r="G8" s="374"/>
      <c r="H8" s="374"/>
      <c r="J8" s="258">
        <f>IF(IFERROR(_Calc_Backend!$U$5,0)&gt;0,_Calc_Backend!$U$7,J2*J3)</f>
        <v>21767.760000000002</v>
      </c>
    </row>
    <row r="9" spans="2:10" customFormat="1" ht="13.5" customHeight="1" x14ac:dyDescent="0.3">
      <c r="B9" s="392" t="s">
        <v>719</v>
      </c>
      <c r="C9" s="392"/>
      <c r="D9" s="392"/>
      <c r="E9" s="392"/>
      <c r="F9" s="393">
        <f>J8</f>
        <v>21767.760000000002</v>
      </c>
      <c r="G9" s="393"/>
      <c r="H9" s="393"/>
      <c r="J9" s="57">
        <f>J8*52</f>
        <v>1131923.52</v>
      </c>
    </row>
    <row r="10" spans="2:10" customFormat="1" ht="13.5" customHeight="1" x14ac:dyDescent="0.3">
      <c r="B10" s="392" t="s">
        <v>720</v>
      </c>
      <c r="C10" s="392"/>
      <c r="D10" s="392"/>
      <c r="E10" s="392"/>
      <c r="F10" s="372">
        <f>J4</f>
        <v>33.74</v>
      </c>
      <c r="G10" s="372"/>
      <c r="H10" s="372"/>
      <c r="J10" s="57">
        <f>IF(IFERROR(_Calc_Backend!$U$5,0)&gt;0,_Calc_Backend!$U$17+_Calc_Backend!$U$18,Direct_Labor!D23+Operations!D14)</f>
        <v>589505.28000000003</v>
      </c>
    </row>
    <row r="11" spans="2:10" customFormat="1" ht="13.5" customHeight="1" x14ac:dyDescent="0.3">
      <c r="B11" s="392" t="s">
        <v>721</v>
      </c>
      <c r="C11" s="392"/>
      <c r="D11" s="392"/>
      <c r="E11" s="392"/>
      <c r="F11" s="372">
        <f>J3</f>
        <v>64.785000000000011</v>
      </c>
      <c r="G11" s="372"/>
      <c r="H11" s="372"/>
      <c r="J11" s="261">
        <f>Vehicle!C29</f>
        <v>61233.163636363635</v>
      </c>
    </row>
    <row r="12" spans="2:10" customFormat="1" ht="13.5" customHeight="1" x14ac:dyDescent="0.3">
      <c r="B12" s="392" t="s">
        <v>722</v>
      </c>
      <c r="C12" s="392"/>
      <c r="D12" s="392"/>
      <c r="E12" s="392"/>
      <c r="F12" s="372">
        <f>J20</f>
        <v>97.177500000000009</v>
      </c>
      <c r="G12" s="372"/>
      <c r="H12" s="372"/>
      <c r="J12" s="261">
        <f>Vehicle!C29</f>
        <v>61233.163636363635</v>
      </c>
    </row>
    <row r="13" spans="2:10" customFormat="1" ht="13.5" customHeight="1" x14ac:dyDescent="0.3">
      <c r="B13" s="392" t="s">
        <v>723</v>
      </c>
      <c r="C13" s="392"/>
      <c r="D13" s="392"/>
      <c r="E13" s="392"/>
      <c r="F13" s="372">
        <f>J21</f>
        <v>97.177500000000009</v>
      </c>
      <c r="G13" s="372"/>
      <c r="H13" s="372"/>
      <c r="J13" s="57">
        <f>J9+J11</f>
        <v>1193156.6836363636</v>
      </c>
    </row>
    <row r="14" spans="2:10" customFormat="1" ht="13.5" hidden="1" customHeight="1" x14ac:dyDescent="0.3">
      <c r="B14" s="392" t="s">
        <v>724</v>
      </c>
      <c r="C14" s="392"/>
      <c r="D14" s="392"/>
      <c r="E14" s="392"/>
      <c r="F14" s="372">
        <f>J7</f>
        <v>1.677192</v>
      </c>
      <c r="G14" s="372"/>
      <c r="H14" s="372"/>
      <c r="J14" s="57">
        <f>J10+J12</f>
        <v>650738.44363636361</v>
      </c>
    </row>
    <row r="15" spans="2:10" customFormat="1" ht="13.5" hidden="1" customHeight="1" x14ac:dyDescent="0.3">
      <c r="B15" s="392" t="s">
        <v>725</v>
      </c>
      <c r="C15" s="392"/>
      <c r="D15" s="392"/>
      <c r="E15" s="392"/>
      <c r="F15" s="372">
        <f>J22</f>
        <v>308.69848378222764</v>
      </c>
      <c r="G15" s="372"/>
      <c r="H15" s="372"/>
      <c r="J15" s="57">
        <f>J13-J14</f>
        <v>542418.24</v>
      </c>
    </row>
    <row r="16" spans="2:10" customFormat="1" ht="13.5" hidden="1" customHeight="1" x14ac:dyDescent="0.3">
      <c r="B16" s="392" t="s">
        <v>726</v>
      </c>
      <c r="C16" s="392"/>
      <c r="D16" s="392"/>
      <c r="E16" s="392"/>
      <c r="F16" s="394">
        <f>J18</f>
        <v>2.5888585320676078E-2</v>
      </c>
      <c r="G16" s="394"/>
      <c r="H16" s="394"/>
      <c r="J16" s="57">
        <f>IFERROR(J15/J13,0)</f>
        <v>0.45460772037657371</v>
      </c>
    </row>
    <row r="17" spans="2:10" customFormat="1" ht="13.5" hidden="1" customHeight="1" x14ac:dyDescent="0.3">
      <c r="B17" s="392" t="s">
        <v>727</v>
      </c>
      <c r="C17" s="392"/>
      <c r="D17" s="392"/>
      <c r="E17" s="392"/>
      <c r="F17" s="395">
        <f>J19</f>
        <v>38.627062375685078</v>
      </c>
      <c r="G17" s="395"/>
      <c r="H17" s="395"/>
      <c r="J17" s="57">
        <f>IFERROR(J15/_Calc_Backend!$X$33,0)</f>
        <v>140.3367139959432</v>
      </c>
    </row>
    <row r="18" spans="2:10" customFormat="1" ht="13.5" customHeight="1" x14ac:dyDescent="0.3">
      <c r="J18" s="57">
        <f>IFERROR(J7/J3,0)</f>
        <v>2.5888585320676078E-2</v>
      </c>
    </row>
    <row r="19" spans="2:10" customFormat="1" ht="13.5" customHeight="1" x14ac:dyDescent="0.3">
      <c r="B19" s="369" t="s">
        <v>728</v>
      </c>
      <c r="C19" s="369"/>
      <c r="D19" s="369"/>
      <c r="E19" s="369"/>
      <c r="F19" s="369"/>
      <c r="G19" s="369"/>
      <c r="H19" s="369"/>
      <c r="J19" s="57">
        <f>IFERROR(J3/J7,0)</f>
        <v>38.627062375685078</v>
      </c>
    </row>
    <row r="20" spans="2:10" customFormat="1" ht="13.5" customHeight="1" x14ac:dyDescent="0.3">
      <c r="B20" s="392" t="s">
        <v>729</v>
      </c>
      <c r="C20" s="392"/>
      <c r="D20" s="392"/>
      <c r="E20" s="392"/>
      <c r="F20" s="393">
        <f>J9</f>
        <v>1131923.52</v>
      </c>
      <c r="G20" s="393"/>
      <c r="H20" s="393"/>
      <c r="J20" s="57">
        <f>J3*1.5</f>
        <v>97.177500000000009</v>
      </c>
    </row>
    <row r="21" spans="2:10" customFormat="1" ht="13.5" customHeight="1" x14ac:dyDescent="0.3">
      <c r="B21" s="392" t="s">
        <v>730</v>
      </c>
      <c r="C21" s="392"/>
      <c r="D21" s="392"/>
      <c r="E21" s="392"/>
      <c r="F21" s="393">
        <f>J11</f>
        <v>61233.163636363635</v>
      </c>
      <c r="G21" s="393"/>
      <c r="H21" s="393"/>
      <c r="J21" s="57">
        <f>J3*1.5</f>
        <v>97.177500000000009</v>
      </c>
    </row>
    <row r="22" spans="2:10" customFormat="1" ht="13.5" customHeight="1" x14ac:dyDescent="0.3">
      <c r="B22" s="396" t="s">
        <v>731</v>
      </c>
      <c r="C22" s="396"/>
      <c r="D22" s="396"/>
      <c r="E22" s="396"/>
      <c r="F22" s="397">
        <f>Appraisal_Full_Scope_Report!F32</f>
        <v>0</v>
      </c>
      <c r="G22" s="397"/>
      <c r="H22" s="397"/>
      <c r="J22" s="57">
        <f>IFERROR(J13/_Calc_Backend!$X$33,0)</f>
        <v>308.69848378222764</v>
      </c>
    </row>
    <row r="23" spans="2:10" customFormat="1" ht="13.5" customHeight="1" x14ac:dyDescent="0.3">
      <c r="J23" s="261">
        <f>Government_TCO!B8</f>
        <v>129.97639002857142</v>
      </c>
    </row>
    <row r="24" spans="2:10" customFormat="1" ht="13.5" customHeight="1" x14ac:dyDescent="0.3">
      <c r="B24" s="398" t="s">
        <v>732</v>
      </c>
      <c r="C24" s="398"/>
      <c r="D24" s="398"/>
      <c r="E24" s="398"/>
      <c r="F24" s="399">
        <f>J10</f>
        <v>589505.28000000003</v>
      </c>
      <c r="G24" s="399"/>
      <c r="H24" s="399"/>
      <c r="J24" s="259">
        <f>Vendor_Pricing!B5</f>
        <v>90.983473019999991</v>
      </c>
    </row>
    <row r="25" spans="2:10" customFormat="1" ht="13.5" customHeight="1" x14ac:dyDescent="0.3">
      <c r="B25" s="392" t="s">
        <v>733</v>
      </c>
      <c r="C25" s="392"/>
      <c r="D25" s="392"/>
      <c r="E25" s="392"/>
      <c r="F25" s="393">
        <f>J12</f>
        <v>61233.163636363635</v>
      </c>
      <c r="G25" s="393"/>
      <c r="H25" s="393"/>
      <c r="J25" s="259">
        <f>Vendor_Pricing!B6</f>
        <v>63.688431113999989</v>
      </c>
    </row>
    <row r="26" spans="2:10" customFormat="1" ht="13.5" customHeight="1" x14ac:dyDescent="0.3">
      <c r="B26" s="396" t="s">
        <v>734</v>
      </c>
      <c r="C26" s="396"/>
      <c r="D26" s="396"/>
      <c r="E26" s="396"/>
      <c r="F26" s="400">
        <f>J14</f>
        <v>650738.44363636361</v>
      </c>
      <c r="G26" s="400"/>
      <c r="H26" s="400"/>
      <c r="J26" s="261">
        <f>Vendor_Pricing!B7</f>
        <v>77.335952066999994</v>
      </c>
    </row>
    <row r="27" spans="2:10" customFormat="1" ht="13.5" customHeight="1" x14ac:dyDescent="0.3">
      <c r="J27" s="261">
        <f>Vendor_Pricing!B8</f>
        <v>90.983473019999991</v>
      </c>
    </row>
    <row r="28" spans="2:10" customFormat="1" ht="13.5" customHeight="1" x14ac:dyDescent="0.3">
      <c r="B28" s="396" t="s">
        <v>735</v>
      </c>
      <c r="C28" s="396"/>
      <c r="D28" s="396"/>
      <c r="E28" s="396"/>
      <c r="F28" s="393">
        <f>J15</f>
        <v>542418.24</v>
      </c>
      <c r="G28" s="393"/>
      <c r="H28" s="393"/>
      <c r="J28" s="261">
        <f>Vendor_Pricing!B9</f>
        <v>38.992917008571425</v>
      </c>
    </row>
    <row r="29" spans="2:10" customFormat="1" ht="13.5" customHeight="1" x14ac:dyDescent="0.3">
      <c r="B29" s="396" t="s">
        <v>736</v>
      </c>
      <c r="C29" s="396"/>
      <c r="D29" s="396"/>
      <c r="E29" s="396"/>
      <c r="F29" s="401">
        <f>Inputs!B39</f>
        <v>0.21</v>
      </c>
      <c r="G29" s="401"/>
      <c r="H29" s="401"/>
      <c r="J29" s="262">
        <f>Inputs!B39</f>
        <v>0.21</v>
      </c>
    </row>
    <row r="30" spans="2:10" customFormat="1" ht="13.5" customHeight="1" x14ac:dyDescent="0.3">
      <c r="B30" s="396" t="s">
        <v>737</v>
      </c>
      <c r="C30" s="396"/>
      <c r="D30" s="396"/>
      <c r="E30" s="396"/>
      <c r="F30" s="372">
        <f>J17</f>
        <v>140.3367139959432</v>
      </c>
      <c r="G30" s="372"/>
      <c r="H30" s="372"/>
      <c r="J30" s="263">
        <f>Buyer_Vendor_Comparison!C11</f>
        <v>0.30000000000000004</v>
      </c>
    </row>
    <row r="31" spans="2:10" customFormat="1" ht="13.5" customHeight="1" x14ac:dyDescent="0.3">
      <c r="B31" s="392" t="s">
        <v>738</v>
      </c>
      <c r="C31" s="392"/>
      <c r="D31" s="392"/>
      <c r="E31" s="392"/>
      <c r="F31" s="393">
        <f>J12</f>
        <v>61233.163636363635</v>
      </c>
      <c r="G31" s="393"/>
      <c r="H31" s="393"/>
      <c r="J31" s="57">
        <f>IFERROR(J14/12,0)</f>
        <v>54228.203636363636</v>
      </c>
    </row>
    <row r="32" spans="2:10" customFormat="1" ht="15.75" customHeight="1" x14ac:dyDescent="0.3">
      <c r="B32" s="392" t="s">
        <v>739</v>
      </c>
      <c r="C32" s="392"/>
      <c r="D32" s="392"/>
      <c r="E32" s="392"/>
      <c r="F32" s="376">
        <f>IFERROR(H19/(F19/12),0)</f>
        <v>0</v>
      </c>
      <c r="G32" s="376"/>
      <c r="H32" s="376"/>
      <c r="J32" s="264">
        <f>IFERROR(H19/(F19/12),0)</f>
        <v>0</v>
      </c>
    </row>
    <row r="33" spans="2:10" customFormat="1" ht="13.5" customHeight="1" x14ac:dyDescent="0.3">
      <c r="J33" s="57">
        <f>IFERROR((J26-J25)/(J27-J25),0)</f>
        <v>0.50000000000000011</v>
      </c>
    </row>
    <row r="34" spans="2:10" customFormat="1" ht="13.5" customHeight="1" x14ac:dyDescent="0.3">
      <c r="B34" s="392" t="s">
        <v>422</v>
      </c>
      <c r="C34" s="392"/>
      <c r="D34" s="392"/>
      <c r="E34" s="392"/>
      <c r="F34" s="402">
        <f>Appraisal_Full_Scope_Report!F12</f>
        <v>1456</v>
      </c>
      <c r="G34" s="402"/>
      <c r="H34" s="402"/>
      <c r="J34" s="266"/>
    </row>
    <row r="35" spans="2:10" customFormat="1" ht="13.5" customHeight="1" x14ac:dyDescent="0.3">
      <c r="B35" s="392" t="s">
        <v>423</v>
      </c>
      <c r="C35" s="392"/>
      <c r="D35" s="392"/>
      <c r="E35" s="392"/>
      <c r="F35" s="402">
        <f>Appraisal_Full_Scope_Report!F13</f>
        <v>3865.12</v>
      </c>
      <c r="G35" s="402"/>
      <c r="H35" s="402"/>
      <c r="J35" s="266"/>
    </row>
    <row r="36" spans="2:10" customFormat="1" ht="13.5" customHeight="1" x14ac:dyDescent="0.3">
      <c r="B36" s="392" t="s">
        <v>740</v>
      </c>
      <c r="C36" s="392"/>
      <c r="D36" s="392"/>
      <c r="E36" s="392"/>
      <c r="F36" s="403">
        <f t="shared" ref="F36:F42" si="0">J24</f>
        <v>90.983473019999991</v>
      </c>
      <c r="G36" s="403"/>
      <c r="H36" s="403"/>
      <c r="J36" s="57">
        <f>IFERROR(J29/J35,0)</f>
        <v>0</v>
      </c>
    </row>
    <row r="37" spans="2:10" customFormat="1" ht="13.5" customHeight="1" x14ac:dyDescent="0.25">
      <c r="B37" s="392" t="s">
        <v>648</v>
      </c>
      <c r="C37" s="392"/>
      <c r="D37" s="392"/>
      <c r="E37" s="392"/>
      <c r="F37" s="403">
        <f t="shared" si="0"/>
        <v>63.688431113999989</v>
      </c>
      <c r="G37" s="403"/>
      <c r="H37" s="403"/>
    </row>
    <row r="38" spans="2:10" customFormat="1" ht="13.5" customHeight="1" x14ac:dyDescent="0.25">
      <c r="B38" s="392" t="s">
        <v>649</v>
      </c>
      <c r="C38" s="392"/>
      <c r="D38" s="392"/>
      <c r="E38" s="392"/>
      <c r="F38" s="403">
        <f t="shared" si="0"/>
        <v>77.335952066999994</v>
      </c>
      <c r="G38" s="403"/>
      <c r="H38" s="403"/>
    </row>
    <row r="39" spans="2:10" customFormat="1" ht="13.5" customHeight="1" x14ac:dyDescent="0.25">
      <c r="B39" s="392" t="s">
        <v>740</v>
      </c>
      <c r="C39" s="392"/>
      <c r="D39" s="392"/>
      <c r="E39" s="392"/>
      <c r="F39" s="403">
        <f t="shared" si="0"/>
        <v>90.983473019999991</v>
      </c>
      <c r="G39" s="403"/>
      <c r="H39" s="403"/>
    </row>
    <row r="40" spans="2:10" customFormat="1" ht="13.5" customHeight="1" x14ac:dyDescent="0.25">
      <c r="B40" s="396" t="s">
        <v>676</v>
      </c>
      <c r="C40" s="396"/>
      <c r="D40" s="396"/>
      <c r="E40" s="396"/>
      <c r="F40" s="404">
        <f t="shared" si="0"/>
        <v>38.992917008571425</v>
      </c>
      <c r="G40" s="404"/>
      <c r="H40" s="404"/>
    </row>
    <row r="41" spans="2:10" customFormat="1" ht="13.5" customHeight="1" x14ac:dyDescent="0.25">
      <c r="B41" s="396" t="s">
        <v>679</v>
      </c>
      <c r="C41" s="396"/>
      <c r="D41" s="396"/>
      <c r="E41" s="396"/>
      <c r="F41" s="405">
        <f t="shared" si="0"/>
        <v>0.21</v>
      </c>
      <c r="G41" s="405"/>
      <c r="H41" s="405"/>
    </row>
    <row r="42" spans="2:10" customFormat="1" ht="13.5" customHeight="1" x14ac:dyDescent="0.25">
      <c r="B42" s="396" t="s">
        <v>84</v>
      </c>
      <c r="C42" s="396"/>
      <c r="D42" s="396"/>
      <c r="E42" s="396"/>
      <c r="F42" s="406">
        <f t="shared" si="0"/>
        <v>0.30000000000000004</v>
      </c>
      <c r="G42" s="406"/>
      <c r="H42" s="406"/>
    </row>
    <row r="43" spans="2:10" customFormat="1" ht="6.75" hidden="1" customHeight="1" x14ac:dyDescent="0.25"/>
    <row r="44" spans="2:10" customFormat="1" ht="6.75" hidden="1" customHeight="1" x14ac:dyDescent="0.25">
      <c r="B44" s="369" t="s">
        <v>741</v>
      </c>
      <c r="C44" s="369"/>
      <c r="D44" s="369"/>
      <c r="E44" s="369"/>
      <c r="F44" s="369"/>
      <c r="G44" s="369"/>
      <c r="H44" s="369"/>
    </row>
    <row r="45" spans="2:10" customFormat="1" ht="6.75" hidden="1" customHeight="1" x14ac:dyDescent="0.25">
      <c r="B45" s="392" t="s">
        <v>172</v>
      </c>
      <c r="C45" s="392"/>
      <c r="D45" s="392"/>
      <c r="E45" s="392"/>
      <c r="F45" s="374">
        <f>J31</f>
        <v>54228.203636363636</v>
      </c>
      <c r="G45" s="374"/>
      <c r="H45" s="374"/>
    </row>
    <row r="46" spans="2:10" customFormat="1" ht="6.75" hidden="1" customHeight="1" x14ac:dyDescent="0.25">
      <c r="B46" s="392" t="s">
        <v>742</v>
      </c>
      <c r="C46" s="392"/>
      <c r="D46" s="392"/>
      <c r="E46" s="392"/>
      <c r="F46" s="407">
        <f>J32</f>
        <v>0</v>
      </c>
      <c r="G46" s="407"/>
      <c r="H46" s="407"/>
    </row>
    <row r="47" spans="2:10" customFormat="1" ht="6.75" hidden="1" customHeight="1" x14ac:dyDescent="0.25">
      <c r="B47" s="392" t="s">
        <v>743</v>
      </c>
      <c r="C47" s="392"/>
      <c r="D47" s="392"/>
      <c r="E47" s="392"/>
      <c r="F47" s="394">
        <f>J33</f>
        <v>0.50000000000000011</v>
      </c>
      <c r="G47" s="394"/>
      <c r="H47" s="394"/>
    </row>
    <row r="48" spans="2:10" customFormat="1" ht="6.75" hidden="1" customHeight="1" x14ac:dyDescent="0.25">
      <c r="B48" s="392" t="s">
        <v>744</v>
      </c>
      <c r="C48" s="392"/>
      <c r="D48" s="392"/>
      <c r="E48" s="392"/>
      <c r="F48" s="408">
        <f>J34</f>
        <v>0</v>
      </c>
      <c r="G48" s="408"/>
      <c r="H48" s="408"/>
    </row>
    <row r="49" spans="2:10" customFormat="1" ht="6.75" customHeight="1" x14ac:dyDescent="0.3">
      <c r="B49" s="260" t="s">
        <v>424</v>
      </c>
      <c r="C49" s="83"/>
      <c r="D49" s="83"/>
      <c r="E49" s="84"/>
      <c r="F49" s="265">
        <f>Appraisal_Full_Scope_Report!F14</f>
        <v>336</v>
      </c>
      <c r="G49" s="83"/>
      <c r="H49" s="84"/>
      <c r="J49" s="266"/>
    </row>
    <row r="50" spans="2:10" customFormat="1" ht="6.75" customHeight="1" x14ac:dyDescent="0.3">
      <c r="B50" s="392" t="s">
        <v>745</v>
      </c>
      <c r="C50" s="392"/>
      <c r="D50" s="392"/>
      <c r="E50" s="392"/>
      <c r="F50" s="392"/>
      <c r="G50" s="392"/>
      <c r="H50" s="392"/>
      <c r="J50" s="266"/>
    </row>
    <row r="51" spans="2:10" customFormat="1" ht="6.75" customHeight="1" x14ac:dyDescent="0.3">
      <c r="B51" s="260" t="s">
        <v>425</v>
      </c>
      <c r="C51" s="83"/>
      <c r="D51" s="83"/>
      <c r="E51" s="84"/>
      <c r="F51" s="265">
        <f>Appraisal_Full_Scope_Report!F16</f>
        <v>12</v>
      </c>
      <c r="G51" s="83"/>
      <c r="H51" s="84"/>
      <c r="J51" s="266"/>
    </row>
    <row r="52" spans="2:10" customFormat="1" ht="6.75" customHeight="1" x14ac:dyDescent="0.25"/>
    <row r="53" spans="2:10" customFormat="1" ht="6.75" customHeight="1" x14ac:dyDescent="0.25">
      <c r="B53" s="267" t="s">
        <v>746</v>
      </c>
    </row>
    <row r="54" spans="2:10" customFormat="1" ht="6.75" customHeight="1" x14ac:dyDescent="0.25"/>
    <row r="55" spans="2:10" customFormat="1" ht="6.75" customHeight="1" x14ac:dyDescent="0.25"/>
    <row r="56" spans="2:10" customFormat="1" ht="6.75" customHeight="1" x14ac:dyDescent="0.25"/>
    <row r="57" spans="2:10" customFormat="1" ht="6.75" customHeight="1" x14ac:dyDescent="0.25"/>
    <row r="58" spans="2:10" customFormat="1" ht="6.75" customHeight="1" x14ac:dyDescent="0.25"/>
    <row r="59" spans="2:10" customFormat="1" ht="6.75" customHeight="1" x14ac:dyDescent="0.25"/>
  </sheetData>
  <mergeCells count="75">
    <mergeCell ref="B47:E47"/>
    <mergeCell ref="F47:H47"/>
    <mergeCell ref="B48:E48"/>
    <mergeCell ref="F48:H48"/>
    <mergeCell ref="B50:H50"/>
    <mergeCell ref="B44:H44"/>
    <mergeCell ref="B45:E45"/>
    <mergeCell ref="F45:H45"/>
    <mergeCell ref="B46:E46"/>
    <mergeCell ref="F46:H46"/>
    <mergeCell ref="B40:E40"/>
    <mergeCell ref="F40:H40"/>
    <mergeCell ref="B41:E41"/>
    <mergeCell ref="F41:H41"/>
    <mergeCell ref="B42:E42"/>
    <mergeCell ref="F42:H42"/>
    <mergeCell ref="B37:E37"/>
    <mergeCell ref="F37:H37"/>
    <mergeCell ref="B38:E38"/>
    <mergeCell ref="F38:H38"/>
    <mergeCell ref="B39:E39"/>
    <mergeCell ref="F39:H39"/>
    <mergeCell ref="B34:E34"/>
    <mergeCell ref="F34:H34"/>
    <mergeCell ref="B35:E35"/>
    <mergeCell ref="F35:H35"/>
    <mergeCell ref="B36:E36"/>
    <mergeCell ref="F36:H36"/>
    <mergeCell ref="B30:E30"/>
    <mergeCell ref="F30:H30"/>
    <mergeCell ref="B31:E31"/>
    <mergeCell ref="F31:H31"/>
    <mergeCell ref="B32:E32"/>
    <mergeCell ref="F32:H32"/>
    <mergeCell ref="B26:E26"/>
    <mergeCell ref="F26:H26"/>
    <mergeCell ref="B28:E28"/>
    <mergeCell ref="F28:H28"/>
    <mergeCell ref="B29:E29"/>
    <mergeCell ref="F29:H29"/>
    <mergeCell ref="B22:E22"/>
    <mergeCell ref="F22:H22"/>
    <mergeCell ref="B24:E24"/>
    <mergeCell ref="F24:H24"/>
    <mergeCell ref="B25:E25"/>
    <mergeCell ref="F25:H25"/>
    <mergeCell ref="B19:H19"/>
    <mergeCell ref="B20:E20"/>
    <mergeCell ref="F20:H20"/>
    <mergeCell ref="B21:E21"/>
    <mergeCell ref="F21:H21"/>
    <mergeCell ref="B15:E15"/>
    <mergeCell ref="F15:H15"/>
    <mergeCell ref="B16:E16"/>
    <mergeCell ref="F16:H16"/>
    <mergeCell ref="B17:E17"/>
    <mergeCell ref="F17:H17"/>
    <mergeCell ref="B12:E12"/>
    <mergeCell ref="F12:H12"/>
    <mergeCell ref="B13:E13"/>
    <mergeCell ref="F13:H13"/>
    <mergeCell ref="B14:E14"/>
    <mergeCell ref="F14:H14"/>
    <mergeCell ref="B9:E9"/>
    <mergeCell ref="F9:H9"/>
    <mergeCell ref="B10:E10"/>
    <mergeCell ref="F10:H10"/>
    <mergeCell ref="B11:E11"/>
    <mergeCell ref="F11:H11"/>
    <mergeCell ref="B1:H1"/>
    <mergeCell ref="B2:H2"/>
    <mergeCell ref="B3:H3"/>
    <mergeCell ref="B7:H7"/>
    <mergeCell ref="B8:E8"/>
    <mergeCell ref="F8:H8"/>
  </mergeCells>
  <conditionalFormatting sqref="F32">
    <cfRule type="cellIs" dxfId="7" priority="2" operator="lessThanOrEqual">
      <formula>12</formula>
    </cfRule>
    <cfRule type="cellIs" dxfId="6" priority="3" operator="greaterThan">
      <formula>12</formula>
    </cfRule>
  </conditionalFormatting>
  <conditionalFormatting sqref="J32">
    <cfRule type="cellIs" dxfId="5" priority="4" operator="lessThanOrEqual">
      <formula>12</formula>
    </cfRule>
    <cfRule type="cellIs" dxfId="4" priority="5" operator="greaterThan">
      <formula>12</formula>
    </cfRule>
  </conditionalFormatting>
  <pageMargins left="0.7" right="0.7" top="0.75" bottom="0.75" header="0.511811023622047" footer="0.511811023622047"/>
  <pageSetup paperSize="9" orientation="portrait" horizontalDpi="300" verticalDpi="30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7"/>
  <sheetViews>
    <sheetView zoomScaleNormal="100" workbookViewId="0"/>
  </sheetViews>
  <sheetFormatPr defaultColWidth="8.6640625" defaultRowHeight="12.75" customHeight="1" x14ac:dyDescent="0.25"/>
  <cols>
    <col min="2" max="2" width="11.109375" customWidth="1"/>
  </cols>
  <sheetData>
    <row r="1" spans="1:3" ht="13.5" customHeight="1" x14ac:dyDescent="0.25">
      <c r="A1" s="268" t="s">
        <v>756</v>
      </c>
      <c r="B1" s="268" t="s">
        <v>757</v>
      </c>
      <c r="C1" s="268" t="s">
        <v>758</v>
      </c>
    </row>
    <row r="2" spans="1:3" ht="20.25" customHeight="1" x14ac:dyDescent="0.25">
      <c r="A2" s="268" t="s">
        <v>759</v>
      </c>
      <c r="B2" s="269">
        <v>21</v>
      </c>
      <c r="C2" s="268" t="s">
        <v>760</v>
      </c>
    </row>
    <row r="3" spans="1:3" ht="13.5" customHeight="1" x14ac:dyDescent="0.25">
      <c r="A3" s="268" t="s">
        <v>761</v>
      </c>
      <c r="B3" s="270">
        <f>IFERROR(B2/Inputs!$B$43,0)</f>
        <v>30.000000000000004</v>
      </c>
      <c r="C3" s="268">
        <f>B2/0.7</f>
        <v>30.000000000000004</v>
      </c>
    </row>
    <row r="4" spans="1:3" ht="39.75" customHeight="1" x14ac:dyDescent="0.25">
      <c r="A4" s="268" t="s">
        <v>460</v>
      </c>
      <c r="B4" s="270">
        <f>Workforce_Maintenance_Module!E7</f>
        <v>15029.440000000002</v>
      </c>
      <c r="C4" s="268" t="s">
        <v>762</v>
      </c>
    </row>
    <row r="5" spans="1:3" ht="27" customHeight="1" x14ac:dyDescent="0.25">
      <c r="A5" s="268" t="s">
        <v>763</v>
      </c>
      <c r="B5" s="270">
        <f>Training_Module!J9</f>
        <v>38720.000000000007</v>
      </c>
      <c r="C5" s="268" t="s">
        <v>764</v>
      </c>
    </row>
    <row r="6" spans="1:3" ht="39.75" customHeight="1" x14ac:dyDescent="0.25">
      <c r="A6" s="268" t="s">
        <v>362</v>
      </c>
      <c r="B6" s="270">
        <f>Equipment_Uniform_Module!E7</f>
        <v>1447.5</v>
      </c>
      <c r="C6" s="268" t="s">
        <v>765</v>
      </c>
    </row>
    <row r="7" spans="1:3" ht="20.25" customHeight="1" x14ac:dyDescent="0.25">
      <c r="A7" s="268" t="s">
        <v>766</v>
      </c>
      <c r="B7" s="270">
        <f>SUM(B3:B6)</f>
        <v>55226.94000000001</v>
      </c>
      <c r="C7" s="268">
        <f>SUM(B3:B6)</f>
        <v>55226.94000000001</v>
      </c>
    </row>
  </sheetData>
  <dataValidations count="1">
    <dataValidation type="decimal" operator="greaterThanOrEqual" allowBlank="1" errorTitle="Invalid input" error="Use a non-negative number." promptTitle="Input guidance" prompt="Enter the direct labor rate." sqref="B2" xr:uid="{00000000-0002-0000-1400-000000000000}">
      <formula1>0</formula1>
      <formula2>0</formula2>
    </dataValidation>
  </dataValidations>
  <pageMargins left="0.7" right="0.7" top="0.75" bottom="0.75"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8EB4E3"/>
  </sheetPr>
  <dimension ref="A1:J19"/>
  <sheetViews>
    <sheetView zoomScaleNormal="100" workbookViewId="0">
      <selection activeCell="C38" sqref="C38"/>
    </sheetView>
  </sheetViews>
  <sheetFormatPr defaultColWidth="8.6640625" defaultRowHeight="14.25" customHeight="1" x14ac:dyDescent="0.3"/>
  <cols>
    <col min="1" max="1" width="66.33203125" style="57" customWidth="1"/>
    <col min="2" max="2" width="14" style="57" customWidth="1"/>
    <col min="3" max="3" width="18" style="57" customWidth="1"/>
    <col min="4" max="4" width="14" style="57" customWidth="1"/>
    <col min="5" max="5" width="24" style="57" customWidth="1"/>
    <col min="6" max="6" width="32" style="57" customWidth="1"/>
    <col min="7" max="9" width="18" style="57" customWidth="1"/>
    <col min="10" max="10" width="13" style="57" customWidth="1"/>
  </cols>
  <sheetData>
    <row r="1" spans="1:6" customFormat="1" ht="18" customHeight="1" x14ac:dyDescent="0.25">
      <c r="A1" s="360" t="s">
        <v>767</v>
      </c>
      <c r="B1" s="360"/>
      <c r="C1" s="360"/>
      <c r="D1" s="360"/>
      <c r="E1" s="360"/>
      <c r="F1" s="360"/>
    </row>
    <row r="2" spans="1:6" customFormat="1" ht="14.25" customHeight="1" x14ac:dyDescent="0.25">
      <c r="A2" s="361" t="s">
        <v>768</v>
      </c>
      <c r="B2" s="361"/>
      <c r="C2" s="361"/>
      <c r="D2" s="361"/>
      <c r="E2" s="361"/>
      <c r="F2" s="361"/>
    </row>
    <row r="3" spans="1:6" customFormat="1" ht="15.75" customHeight="1" x14ac:dyDescent="0.25">
      <c r="A3" s="362" t="s">
        <v>769</v>
      </c>
      <c r="B3" s="362"/>
      <c r="C3" s="362"/>
      <c r="D3" s="362"/>
      <c r="E3" s="59"/>
      <c r="F3" s="59"/>
    </row>
    <row r="4" spans="1:6" customFormat="1" ht="14.25" customHeight="1" x14ac:dyDescent="0.25">
      <c r="A4" s="140" t="s">
        <v>1009</v>
      </c>
      <c r="B4" s="141">
        <f>Appraisal_Full_Scope_Report!$F$8</f>
        <v>129.97639002857142</v>
      </c>
    </row>
    <row r="5" spans="1:6" customFormat="1" ht="14.25" customHeight="1" x14ac:dyDescent="0.25">
      <c r="A5" s="140" t="s">
        <v>400</v>
      </c>
      <c r="B5" s="271">
        <f>Appraisal_Full_Scope_Report!$H$8</f>
        <v>90.983473019999991</v>
      </c>
    </row>
    <row r="6" spans="1:6" customFormat="1" ht="14.25" hidden="1" customHeight="1" x14ac:dyDescent="0.25">
      <c r="A6" s="63" t="s">
        <v>770</v>
      </c>
      <c r="B6" s="271">
        <f>B5*Inputs!$B$41</f>
        <v>63.688431113999989</v>
      </c>
    </row>
    <row r="7" spans="1:6" customFormat="1" ht="14.25" customHeight="1" x14ac:dyDescent="0.25">
      <c r="A7" s="140" t="s">
        <v>1010</v>
      </c>
      <c r="B7" s="272">
        <f>B6+((B5-B6)/2)</f>
        <v>77.335952066999994</v>
      </c>
    </row>
    <row r="8" spans="1:6" customFormat="1" ht="14.25" hidden="1" customHeight="1" x14ac:dyDescent="0.25">
      <c r="A8" s="140" t="s">
        <v>771</v>
      </c>
      <c r="B8" s="141">
        <f>B5</f>
        <v>90.983473019999991</v>
      </c>
    </row>
    <row r="9" spans="1:6" customFormat="1" ht="14.25" customHeight="1" x14ac:dyDescent="0.25">
      <c r="A9" s="63" t="s">
        <v>676</v>
      </c>
      <c r="B9" s="89">
        <f>Appraisal_Full_Scope_Report!$J$8</f>
        <v>38.992917008571425</v>
      </c>
    </row>
    <row r="10" spans="1:6" customFormat="1" ht="14.25" customHeight="1" x14ac:dyDescent="0.25">
      <c r="A10" s="140" t="s">
        <v>679</v>
      </c>
      <c r="B10" s="141">
        <f>Appraisal_Full_Scope_Report!$H$20</f>
        <v>681284.24597376003</v>
      </c>
    </row>
    <row r="11" spans="1:6" customFormat="1" ht="7.5" hidden="1" customHeight="1" x14ac:dyDescent="0.25">
      <c r="A11" s="63" t="s">
        <v>172</v>
      </c>
      <c r="B11" s="88">
        <f>Inputs!B42</f>
        <v>1500</v>
      </c>
    </row>
    <row r="12" spans="1:6" customFormat="1" ht="7.5" hidden="1" customHeight="1" x14ac:dyDescent="0.25">
      <c r="A12" s="63" t="s">
        <v>772</v>
      </c>
      <c r="B12" s="167">
        <f>IF(IFERROR(_Calc_Backend!$U$5,0)&gt;0,_Calc_Backend!$U$15,"")</f>
        <v>64.785000000000011</v>
      </c>
      <c r="D12" s="273" t="s">
        <v>773</v>
      </c>
      <c r="E12" s="63" t="str">
        <f>IF(_Calc_Backend!$U$5&gt;0,"Linked","Manual")</f>
        <v>Linked</v>
      </c>
    </row>
    <row r="13" spans="1:6" customFormat="1" ht="7.5" hidden="1" customHeight="1" x14ac:dyDescent="0.25">
      <c r="A13" s="362" t="s">
        <v>774</v>
      </c>
      <c r="B13" s="362"/>
      <c r="C13" s="362"/>
      <c r="D13" s="362"/>
      <c r="E13" s="362"/>
      <c r="F13" s="362"/>
    </row>
    <row r="14" spans="1:6" customFormat="1" ht="7.5" hidden="1" customHeight="1" x14ac:dyDescent="0.25">
      <c r="A14" s="123" t="s">
        <v>403</v>
      </c>
      <c r="B14" s="274" t="s">
        <v>404</v>
      </c>
      <c r="C14" s="274" t="s">
        <v>775</v>
      </c>
      <c r="D14" s="273" t="s">
        <v>776</v>
      </c>
      <c r="E14" s="275" t="s">
        <v>777</v>
      </c>
      <c r="F14" s="125" t="s">
        <v>778</v>
      </c>
    </row>
    <row r="15" spans="1:6" customFormat="1" ht="7.5" hidden="1" customHeight="1" x14ac:dyDescent="0.25">
      <c r="A15" s="63" t="s">
        <v>779</v>
      </c>
      <c r="B15" s="276">
        <v>35</v>
      </c>
      <c r="C15" s="79">
        <v>0</v>
      </c>
      <c r="D15" s="277" t="str">
        <f>IF(C15="","",IF(C15&gt;=B11,"Yes","No"))</f>
        <v>No</v>
      </c>
      <c r="E15" s="63" t="str">
        <f>IF(B15="","",IF(B15&lt;B6,"Below Floor",IF(B15&lt;B7,"Between Floor and Target",IF(B15&lt;=B8,"Between Target and Ceiling","Above Ceiling"))))</f>
        <v>Below Floor</v>
      </c>
      <c r="F15" s="63" t="str">
        <f>IF(B15="","",IF(B15&lt;B6,"Unrealistic / high performance risk",IF(B15&lt;B7,"Aggressive pricing",IF(B15&lt;=B8,"Competitive and reasonable","Potentially overpriced"))))</f>
        <v>Unrealistic / high performance risk</v>
      </c>
    </row>
    <row r="16" spans="1:6" customFormat="1" ht="7.5" hidden="1" customHeight="1" x14ac:dyDescent="0.25">
      <c r="A16" s="63" t="s">
        <v>780</v>
      </c>
      <c r="B16" s="276">
        <v>37</v>
      </c>
      <c r="C16" s="79">
        <v>0</v>
      </c>
      <c r="D16" s="277" t="str">
        <f>IF(C16="","",IF(C16&gt;=B11,"Yes","No"))</f>
        <v>No</v>
      </c>
      <c r="E16" s="63" t="str">
        <f>IF(B16="","",IF(B16&lt;B6,"Below Floor",IF(B16&lt;B7,"Between Floor and Target",IF(B16&lt;=B8,"Between Target and Ceiling","Above Ceiling"))))</f>
        <v>Below Floor</v>
      </c>
      <c r="F16" s="63" t="str">
        <f>IF(B16="","",IF(B16&lt;B6,"Unrealistic / high performance risk",IF(B16&lt;B7,"Aggressive pricing",IF(B16&lt;=B8,"Competitive and reasonable","Potentially overpriced"))))</f>
        <v>Unrealistic / high performance risk</v>
      </c>
    </row>
    <row r="17" spans="1:6" customFormat="1" ht="7.5" hidden="1" customHeight="1" x14ac:dyDescent="0.25">
      <c r="A17" s="63" t="s">
        <v>781</v>
      </c>
      <c r="B17" s="276">
        <v>41</v>
      </c>
      <c r="C17" s="79">
        <v>0</v>
      </c>
      <c r="D17" s="277" t="str">
        <f>IF(C17="","",IF(C17&gt;=B11,"Yes","No"))</f>
        <v>No</v>
      </c>
      <c r="E17" s="63" t="str">
        <f>IF(B17="","",IF(B17&lt;B6,"Below Floor",IF(B17&lt;B7,"Between Floor and Target",IF(B17&lt;=B8,"Between Target and Ceiling","Above Ceiling"))))</f>
        <v>Below Floor</v>
      </c>
      <c r="F17" s="63" t="str">
        <f>IF(B17="","",IF(B17&lt;B6,"Unrealistic / high performance risk",IF(B17&lt;B7,"Aggressive pricing",IF(B17&lt;=B8,"Competitive and reasonable","Potentially overpriced"))))</f>
        <v>Unrealistic / high performance risk</v>
      </c>
    </row>
    <row r="18" spans="1:6" customFormat="1" ht="7.5" hidden="1" customHeight="1" x14ac:dyDescent="0.25">
      <c r="A18" s="63" t="s">
        <v>782</v>
      </c>
      <c r="B18" s="276">
        <v>42</v>
      </c>
      <c r="C18" s="79">
        <v>0</v>
      </c>
      <c r="D18" s="277" t="str">
        <f>IF(C18="","",IF(C18&gt;=B11,"Yes","No"))</f>
        <v>No</v>
      </c>
      <c r="E18" s="63" t="str">
        <f>IF(B18="","",IF(B18&lt;B6,"Below Floor",IF(B18&lt;B7,"Between Floor and Target",IF(B18&lt;=B8,"Between Target and Ceiling","Above Ceiling"))))</f>
        <v>Below Floor</v>
      </c>
      <c r="F18" s="63" t="str">
        <f>IF(B18="","",IF(B18&lt;B6,"Unrealistic / high performance risk",IF(B18&lt;B7,"Aggressive pricing",IF(B18&lt;=B8,"Competitive and reasonable","Potentially overpriced"))))</f>
        <v>Unrealistic / high performance risk</v>
      </c>
    </row>
    <row r="19" spans="1:6" customFormat="1" ht="7.5" hidden="1" customHeight="1" x14ac:dyDescent="0.25">
      <c r="A19" s="63" t="s">
        <v>783</v>
      </c>
      <c r="B19" s="276">
        <v>50</v>
      </c>
      <c r="C19" s="79">
        <v>0</v>
      </c>
      <c r="D19" s="277" t="str">
        <f>IF(C19="","",IF(C19&gt;=B11,"Yes","No"))</f>
        <v>No</v>
      </c>
      <c r="E19" s="63" t="str">
        <f>IF(B19="","",IF(B19&lt;B6,"Below Floor",IF(B19&lt;B7,"Between Floor and Target",IF(B19&lt;=B8,"Between Target and Ceiling","Above Ceiling"))))</f>
        <v>Below Floor</v>
      </c>
      <c r="F19" s="63" t="str">
        <f>IF(B19="","",IF(B19&lt;B6,"Unrealistic / high performance risk",IF(B19&lt;B7,"Aggressive pricing",IF(B19&lt;=B8,"Competitive and reasonable","Potentially overpriced"))))</f>
        <v>Unrealistic / high performance risk</v>
      </c>
    </row>
  </sheetData>
  <mergeCells count="4">
    <mergeCell ref="A1:F1"/>
    <mergeCell ref="A2:F2"/>
    <mergeCell ref="A3:D3"/>
    <mergeCell ref="A13:F13"/>
  </mergeCells>
  <dataValidations count="2">
    <dataValidation type="decimal" operator="greaterThanOrEqual" allowBlank="1" errorTitle="Invalid input" error="Use a non-negative rate." promptTitle="Input guidance" prompt="Enter the vendor bid rate per hour." sqref="B15:B19" xr:uid="{00000000-0002-0000-1500-000000000000}">
      <formula1>0</formula1>
      <formula2>0</formula2>
    </dataValidation>
    <dataValidation type="whole" allowBlank="1" errorTitle="Invalid input" error="Use a whole number." promptTitle="Input guidance" prompt="Enter vendor weekly hours billed." sqref="C15:C19" xr:uid="{00000000-0002-0000-1500-000001000000}">
      <formula1>0</formula1>
      <formula2>10000</formula2>
    </dataValidation>
  </dataValidations>
  <pageMargins left="0.7" right="0.7" top="0.75" bottom="0.75" header="0.511811023622047" footer="0.511811023622047"/>
  <pageSetup paperSize="9" orientation="portrait" horizontalDpi="300" verticalDpi="30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15"/>
  <sheetViews>
    <sheetView zoomScaleNormal="100" workbookViewId="0"/>
  </sheetViews>
  <sheetFormatPr defaultColWidth="8.6640625" defaultRowHeight="12.75" customHeight="1" x14ac:dyDescent="0.25"/>
  <cols>
    <col min="1" max="1" width="30" customWidth="1"/>
    <col min="2" max="2" width="18" customWidth="1"/>
    <col min="4" max="4" width="45" customWidth="1"/>
  </cols>
  <sheetData>
    <row r="1" spans="1:8" ht="17.25" customHeight="1" x14ac:dyDescent="0.25">
      <c r="A1" s="409" t="s">
        <v>784</v>
      </c>
      <c r="B1" s="409"/>
      <c r="C1" s="409"/>
      <c r="D1" s="409"/>
      <c r="E1" s="409"/>
      <c r="F1" s="409"/>
      <c r="G1" s="409"/>
      <c r="H1" s="409"/>
    </row>
    <row r="2" spans="1:8" ht="12.75" customHeight="1" x14ac:dyDescent="0.25">
      <c r="A2" s="410" t="s">
        <v>785</v>
      </c>
      <c r="B2" s="410"/>
      <c r="C2" s="410"/>
      <c r="D2" s="410"/>
      <c r="E2" s="410"/>
      <c r="F2" s="410"/>
      <c r="G2" s="410"/>
      <c r="H2" s="410"/>
    </row>
    <row r="3" spans="1:8" ht="12.75" customHeight="1" x14ac:dyDescent="0.25">
      <c r="A3" s="268"/>
      <c r="B3" s="268"/>
      <c r="C3" s="268"/>
      <c r="D3" s="268"/>
      <c r="E3" s="268"/>
      <c r="F3" s="268"/>
      <c r="G3" s="268"/>
      <c r="H3" s="268"/>
    </row>
    <row r="4" spans="1:8" ht="12.75" customHeight="1" x14ac:dyDescent="0.25">
      <c r="A4" s="278" t="s">
        <v>786</v>
      </c>
      <c r="B4" s="279">
        <f>Appraisal_Full_Scope_Report!$F$8</f>
        <v>129.97639002857142</v>
      </c>
      <c r="C4" s="280"/>
      <c r="D4" s="278" t="s">
        <v>787</v>
      </c>
      <c r="E4" s="268"/>
      <c r="F4" s="268"/>
      <c r="G4" s="268"/>
      <c r="H4" s="268"/>
    </row>
    <row r="5" spans="1:8" ht="12.75" customHeight="1" x14ac:dyDescent="0.25">
      <c r="A5" s="281" t="s">
        <v>788</v>
      </c>
      <c r="B5" s="282">
        <f>Vendor_Pricing!$B$6</f>
        <v>63.688431113999989</v>
      </c>
      <c r="C5" s="280"/>
      <c r="D5" s="280" t="s">
        <v>789</v>
      </c>
      <c r="E5" s="268"/>
      <c r="F5" s="268"/>
      <c r="G5" s="268"/>
      <c r="H5" s="268"/>
    </row>
    <row r="6" spans="1:8" ht="12.75" customHeight="1" x14ac:dyDescent="0.25">
      <c r="A6" s="281" t="s">
        <v>78</v>
      </c>
      <c r="B6" s="282">
        <f>Vendor_Pricing!$B$7</f>
        <v>77.335952066999994</v>
      </c>
      <c r="C6" s="280"/>
      <c r="D6" s="280" t="s">
        <v>790</v>
      </c>
      <c r="E6" s="268"/>
      <c r="F6" s="268"/>
      <c r="G6" s="268"/>
      <c r="H6" s="268"/>
    </row>
    <row r="7" spans="1:8" ht="12.75" customHeight="1" x14ac:dyDescent="0.25">
      <c r="A7" s="281" t="s">
        <v>791</v>
      </c>
      <c r="B7" s="282">
        <f>Appraisal_Full_Scope_Report!$H$8</f>
        <v>90.983473019999991</v>
      </c>
      <c r="C7" s="280"/>
      <c r="D7" s="280" t="s">
        <v>792</v>
      </c>
      <c r="E7" s="268"/>
      <c r="F7" s="268"/>
      <c r="G7" s="268"/>
      <c r="H7" s="268"/>
    </row>
    <row r="8" spans="1:8" ht="12.75" customHeight="1" x14ac:dyDescent="0.25">
      <c r="A8" s="281" t="s">
        <v>793</v>
      </c>
      <c r="B8" s="282">
        <f>IF(_Calc_Backend!U5&gt;0,_Calc_Backend!U15,Vendor_Pricing!B7)</f>
        <v>64.785000000000011</v>
      </c>
      <c r="C8" s="280"/>
      <c r="D8" s="280" t="s">
        <v>794</v>
      </c>
      <c r="E8" s="268"/>
      <c r="F8" s="268"/>
      <c r="G8" s="268"/>
      <c r="H8" s="268"/>
    </row>
    <row r="9" spans="1:8" ht="12.75" customHeight="1" x14ac:dyDescent="0.25">
      <c r="A9" s="281" t="s">
        <v>405</v>
      </c>
      <c r="B9" s="282">
        <f>B8-B4</f>
        <v>-65.191390028571405</v>
      </c>
      <c r="C9" s="280"/>
      <c r="D9" s="280"/>
      <c r="E9" s="268"/>
      <c r="F9" s="268"/>
      <c r="G9" s="268"/>
      <c r="H9" s="268"/>
    </row>
    <row r="10" spans="1:8" ht="12.75" customHeight="1" x14ac:dyDescent="0.25">
      <c r="A10" s="281" t="s">
        <v>795</v>
      </c>
      <c r="B10" s="282">
        <f>B8-B6</f>
        <v>-12.550952066999983</v>
      </c>
      <c r="C10" s="280"/>
      <c r="D10" s="280"/>
      <c r="E10" s="268"/>
      <c r="F10" s="268"/>
      <c r="G10" s="268"/>
      <c r="H10" s="268"/>
    </row>
    <row r="11" spans="1:8" ht="12.75" customHeight="1" x14ac:dyDescent="0.25">
      <c r="A11" s="281" t="s">
        <v>796</v>
      </c>
      <c r="B11" s="280" t="str">
        <f>IF(B8&lt;B5,"Below Floor",IF(B8&lt;B6,"Floor to Target",IF(B8&lt;=B7,"Target to Ceiling","Above Ceiling")))</f>
        <v>Floor to Target</v>
      </c>
      <c r="C11" s="280"/>
      <c r="D11" s="280" t="s">
        <v>797</v>
      </c>
      <c r="E11" s="268"/>
      <c r="F11" s="268"/>
      <c r="G11" s="268"/>
      <c r="H11" s="268"/>
    </row>
    <row r="12" spans="1:8" ht="12.75" customHeight="1" x14ac:dyDescent="0.25">
      <c r="A12" s="281" t="s">
        <v>798</v>
      </c>
      <c r="B12" s="280" t="str">
        <f>IF(B11="Below Floor","D",IF(B11="Floor to Target","A",IF(B11="Target to Ceiling","B","C")))</f>
        <v>A</v>
      </c>
      <c r="C12" s="280"/>
      <c r="D12" s="280" t="s">
        <v>799</v>
      </c>
      <c r="E12" s="268"/>
      <c r="F12" s="268"/>
      <c r="G12" s="268"/>
      <c r="H12" s="268"/>
    </row>
    <row r="13" spans="1:8" ht="21" customHeight="1" x14ac:dyDescent="0.25">
      <c r="A13" s="281" t="s">
        <v>800</v>
      </c>
      <c r="B13" s="280" t="str">
        <f>IF(B12="A","Strong pricing alignment",IF(B12="B","Acceptable but monitor margin",IF(B12="C","Premium pricing; justify scope or quality","Underpriced; performance risk")))</f>
        <v>Strong pricing alignment</v>
      </c>
      <c r="C13" s="280"/>
      <c r="D13" s="280"/>
      <c r="E13" s="268"/>
      <c r="F13" s="268"/>
      <c r="G13" s="268"/>
      <c r="H13" s="268"/>
    </row>
    <row r="14" spans="1:8" ht="12.75" customHeight="1" x14ac:dyDescent="0.25">
      <c r="A14" s="281" t="s">
        <v>679</v>
      </c>
      <c r="B14" s="282">
        <f>MAX(0,Appraisal_Full_Scope_Report!$H$20)</f>
        <v>681284.24597376003</v>
      </c>
      <c r="C14" s="280"/>
      <c r="D14" s="280"/>
      <c r="E14" s="268"/>
      <c r="F14" s="268"/>
      <c r="G14" s="268"/>
      <c r="H14" s="268"/>
    </row>
    <row r="15" spans="1:8" ht="12.75" customHeight="1" x14ac:dyDescent="0.25">
      <c r="A15" s="281" t="s">
        <v>801</v>
      </c>
      <c r="B15" s="283">
        <f>Appraisal_Full_Scope_Report!$H$21</f>
        <v>0.30000000000000004</v>
      </c>
      <c r="C15" s="280"/>
      <c r="D15" s="280"/>
      <c r="E15" s="268"/>
      <c r="F15" s="268"/>
      <c r="G15" s="268"/>
      <c r="H15" s="268"/>
    </row>
  </sheetData>
  <mergeCells count="2">
    <mergeCell ref="A1:H1"/>
    <mergeCell ref="A2:H2"/>
  </mergeCells>
  <conditionalFormatting sqref="B12">
    <cfRule type="expression" dxfId="3" priority="2">
      <formula>B12="A"</formula>
    </cfRule>
    <cfRule type="expression" dxfId="2" priority="3">
      <formula>B12="B"</formula>
    </cfRule>
    <cfRule type="expression" dxfId="1" priority="4">
      <formula>B12="C"</formula>
    </cfRule>
    <cfRule type="expression" dxfId="0" priority="5">
      <formula>B12="D"</formula>
    </cfRule>
  </conditionalFormatting>
  <pageMargins left="0.7" right="0.7" top="0.75" bottom="0.75"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G13"/>
  <sheetViews>
    <sheetView zoomScaleNormal="100" workbookViewId="0"/>
  </sheetViews>
  <sheetFormatPr defaultColWidth="8.6640625" defaultRowHeight="12.75" customHeight="1" x14ac:dyDescent="0.25"/>
  <cols>
    <col min="1" max="1" width="30" customWidth="1"/>
    <col min="2" max="2" width="18" customWidth="1"/>
    <col min="3" max="3" width="19.21875" customWidth="1"/>
    <col min="5" max="5" width="55" customWidth="1"/>
  </cols>
  <sheetData>
    <row r="1" spans="1:7" ht="17.25" customHeight="1" x14ac:dyDescent="0.25">
      <c r="A1" s="409" t="s">
        <v>802</v>
      </c>
      <c r="B1" s="409"/>
      <c r="C1" s="409"/>
      <c r="D1" s="409"/>
      <c r="E1" s="409"/>
      <c r="F1" s="409"/>
      <c r="G1" s="409"/>
    </row>
    <row r="2" spans="1:7" ht="12.75" customHeight="1" x14ac:dyDescent="0.25">
      <c r="A2" s="410" t="s">
        <v>803</v>
      </c>
      <c r="B2" s="410"/>
      <c r="C2" s="410"/>
      <c r="D2" s="410"/>
      <c r="E2" s="410"/>
      <c r="F2" s="410"/>
      <c r="G2" s="410"/>
    </row>
    <row r="3" spans="1:7" ht="12.75" customHeight="1" x14ac:dyDescent="0.25">
      <c r="A3" s="268"/>
      <c r="B3" s="268"/>
      <c r="C3" s="268"/>
      <c r="D3" s="268"/>
      <c r="E3" s="268"/>
      <c r="F3" s="268"/>
      <c r="G3" s="268"/>
    </row>
    <row r="4" spans="1:7" ht="12.75" customHeight="1" x14ac:dyDescent="0.25">
      <c r="A4" s="278" t="s">
        <v>318</v>
      </c>
      <c r="B4" s="278" t="s">
        <v>804</v>
      </c>
      <c r="C4" s="278" t="s">
        <v>805</v>
      </c>
      <c r="D4" s="268"/>
      <c r="E4" s="278" t="s">
        <v>806</v>
      </c>
      <c r="F4" s="268"/>
      <c r="G4" s="268"/>
    </row>
    <row r="5" spans="1:7" ht="26.25" customHeight="1" x14ac:dyDescent="0.25">
      <c r="A5" s="281" t="s">
        <v>807</v>
      </c>
      <c r="B5" s="284">
        <f>Appraisal_Full_Scope_Report!$F$15</f>
        <v>17472</v>
      </c>
      <c r="C5" s="284">
        <f>Appraisal_Full_Scope_Report!$F$15</f>
        <v>17472</v>
      </c>
      <c r="D5" s="268"/>
      <c r="E5" s="280" t="s">
        <v>808</v>
      </c>
      <c r="F5" s="268"/>
      <c r="G5" s="268"/>
    </row>
    <row r="6" spans="1:7" ht="26.25" customHeight="1" x14ac:dyDescent="0.25">
      <c r="A6" s="281" t="s">
        <v>809</v>
      </c>
      <c r="B6" s="282">
        <f>Appraisal_Full_Scope_Report!$F$8</f>
        <v>129.97639002857142</v>
      </c>
      <c r="C6" s="282">
        <f>Appraisal_Full_Scope_Report!$H$8</f>
        <v>90.983473019999991</v>
      </c>
      <c r="D6" s="268"/>
      <c r="E6" s="280" t="s">
        <v>810</v>
      </c>
      <c r="F6" s="268"/>
      <c r="G6" s="268"/>
    </row>
    <row r="7" spans="1:7" ht="26.25" customHeight="1" x14ac:dyDescent="0.25">
      <c r="A7" s="281" t="s">
        <v>61</v>
      </c>
      <c r="B7" s="282">
        <f>Appraisal_Full_Scope_Report!$F$19</f>
        <v>2270947.4865791998</v>
      </c>
      <c r="C7" s="282">
        <f>Appraisal_Full_Scope_Report!$H$19</f>
        <v>1589663.2406054398</v>
      </c>
      <c r="D7" s="268"/>
      <c r="E7" s="280" t="s">
        <v>811</v>
      </c>
      <c r="F7" s="268"/>
      <c r="G7" s="268"/>
    </row>
    <row r="8" spans="1:7" ht="26.25" customHeight="1" x14ac:dyDescent="0.25">
      <c r="A8" s="281" t="s">
        <v>812</v>
      </c>
      <c r="B8" s="282">
        <f>Training_Module!J9</f>
        <v>38720.000000000007</v>
      </c>
      <c r="C8" s="282">
        <f>Training_Module!J9</f>
        <v>38720.000000000007</v>
      </c>
      <c r="D8" s="268"/>
      <c r="E8" s="280" t="s">
        <v>813</v>
      </c>
      <c r="F8" s="268"/>
      <c r="G8" s="268"/>
    </row>
    <row r="9" spans="1:7" ht="12.75" customHeight="1" x14ac:dyDescent="0.25">
      <c r="A9" s="281" t="s">
        <v>814</v>
      </c>
      <c r="B9" s="282">
        <f>Workforce_Maintenance_Module!E7</f>
        <v>15029.440000000002</v>
      </c>
      <c r="C9" s="282">
        <f>Workforce_Maintenance_Module!E7</f>
        <v>15029.440000000002</v>
      </c>
      <c r="D9" s="268"/>
      <c r="E9" s="280" t="s">
        <v>815</v>
      </c>
      <c r="F9" s="268"/>
      <c r="G9" s="268"/>
    </row>
    <row r="10" spans="1:7" ht="12.75" customHeight="1" x14ac:dyDescent="0.25">
      <c r="A10" s="281" t="s">
        <v>816</v>
      </c>
      <c r="B10" s="282">
        <f>Equipment_Uniform_Module!E7</f>
        <v>1447.5</v>
      </c>
      <c r="C10" s="282">
        <f>Equipment_Uniform_Module!E7</f>
        <v>1447.5</v>
      </c>
      <c r="D10" s="268"/>
      <c r="E10" s="280"/>
      <c r="F10" s="268"/>
      <c r="G10" s="268"/>
    </row>
    <row r="11" spans="1:7" ht="12.75" customHeight="1" x14ac:dyDescent="0.25">
      <c r="A11" s="281" t="s">
        <v>817</v>
      </c>
      <c r="B11" s="282">
        <f>SUM(B7:B10)</f>
        <v>2326144.4265791997</v>
      </c>
      <c r="C11" s="282">
        <f>SUM(C7:C10)</f>
        <v>1644860.1806054397</v>
      </c>
      <c r="D11" s="268"/>
      <c r="E11" s="280"/>
      <c r="F11" s="268"/>
      <c r="G11" s="268"/>
    </row>
    <row r="12" spans="1:7" ht="12.75" customHeight="1" x14ac:dyDescent="0.25">
      <c r="A12" s="281" t="s">
        <v>818</v>
      </c>
      <c r="B12" s="280"/>
      <c r="C12" s="282">
        <f>Appraisal_Full_Scope_Report!$H$20</f>
        <v>681284.24597376003</v>
      </c>
      <c r="D12" s="268"/>
      <c r="E12" s="280"/>
      <c r="F12" s="268"/>
      <c r="G12" s="268"/>
    </row>
    <row r="13" spans="1:7" ht="12.75" customHeight="1" x14ac:dyDescent="0.25">
      <c r="A13" s="281" t="s">
        <v>819</v>
      </c>
      <c r="B13" s="280"/>
      <c r="C13" s="283">
        <f>Appraisal_Full_Scope_Report!$H$21</f>
        <v>0.30000000000000004</v>
      </c>
      <c r="D13" s="268"/>
      <c r="E13" s="268"/>
      <c r="F13" s="268"/>
      <c r="G13" s="268"/>
    </row>
  </sheetData>
  <mergeCells count="2">
    <mergeCell ref="A1:G1"/>
    <mergeCell ref="A2:G2"/>
  </mergeCells>
  <pageMargins left="0.7" right="0.7" top="0.75" bottom="0.75"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8"/>
  <sheetViews>
    <sheetView zoomScaleNormal="100" workbookViewId="0"/>
  </sheetViews>
  <sheetFormatPr defaultColWidth="8.6640625" defaultRowHeight="12.75" customHeight="1" x14ac:dyDescent="0.25"/>
  <cols>
    <col min="1" max="1" width="22" customWidth="1"/>
    <col min="2" max="2" width="14" customWidth="1"/>
    <col min="3" max="3" width="14" hidden="1" customWidth="1"/>
    <col min="4" max="4" width="12" hidden="1" customWidth="1"/>
    <col min="5" max="5" width="20" customWidth="1"/>
    <col min="6" max="6" width="22" customWidth="1"/>
    <col min="7" max="7" width="16" customWidth="1"/>
  </cols>
  <sheetData>
    <row r="1" spans="1:8" ht="17.25" customHeight="1" x14ac:dyDescent="0.25">
      <c r="A1" s="409" t="s">
        <v>820</v>
      </c>
      <c r="B1" s="409"/>
      <c r="C1" s="409"/>
      <c r="D1" s="409"/>
      <c r="E1" s="409"/>
      <c r="F1" s="409"/>
      <c r="G1" s="409"/>
      <c r="H1" s="409"/>
    </row>
    <row r="2" spans="1:8" ht="12" customHeight="1" x14ac:dyDescent="0.25">
      <c r="A2" s="410" t="s">
        <v>821</v>
      </c>
      <c r="B2" s="410"/>
      <c r="C2" s="410"/>
      <c r="D2" s="410"/>
      <c r="E2" s="410"/>
      <c r="F2" s="410"/>
      <c r="G2" s="410"/>
      <c r="H2" s="410"/>
    </row>
    <row r="3" spans="1:8" ht="12.75" customHeight="1" x14ac:dyDescent="0.25">
      <c r="A3" s="268"/>
      <c r="B3" s="268"/>
      <c r="C3" s="268"/>
      <c r="D3" s="268"/>
      <c r="E3" s="268"/>
      <c r="F3" s="268"/>
      <c r="G3" s="268"/>
      <c r="H3" s="268"/>
    </row>
    <row r="4" spans="1:8" ht="21" customHeight="1" x14ac:dyDescent="0.25">
      <c r="A4" s="285" t="s">
        <v>822</v>
      </c>
      <c r="B4" s="286" t="s">
        <v>404</v>
      </c>
      <c r="C4" s="286" t="s">
        <v>405</v>
      </c>
      <c r="D4" s="286" t="s">
        <v>406</v>
      </c>
      <c r="E4" s="286" t="s">
        <v>823</v>
      </c>
      <c r="F4" s="286" t="s">
        <v>408</v>
      </c>
      <c r="G4" s="287" t="s">
        <v>61</v>
      </c>
      <c r="H4" s="268"/>
    </row>
    <row r="5" spans="1:8" ht="12.75" customHeight="1" x14ac:dyDescent="0.25">
      <c r="A5" s="288" t="s">
        <v>824</v>
      </c>
      <c r="B5" s="282">
        <f>Vendor_Pricing!B6</f>
        <v>63.688431113999989</v>
      </c>
      <c r="C5" s="282">
        <f>B5-Appraisal_Full_Scope_Report!$F$8</f>
        <v>-66.287958914571419</v>
      </c>
      <c r="D5" s="283">
        <f>IFERROR(C5/Appraisal_Full_Scope_Report!$F$8,0)</f>
        <v>-0.51</v>
      </c>
      <c r="E5" s="280" t="str">
        <f>IF(B5&lt;Vendor_Pricing!B6,"Below Floor",IF(B5&lt;Vendor_Pricing!B7,"Floor to Target",IF(B5&lt;=Vendor_Pricing!B8,"Target to Ceiling","Above Ceiling")))</f>
        <v>Floor to Target</v>
      </c>
      <c r="F5" s="280" t="str">
        <f>IF(E5="Below Floor","High risk underbid",IF(E5="Floor to Target","Best value",IF(E5="Target to Ceiling","Acceptable","Overpriced")))</f>
        <v>Best value</v>
      </c>
      <c r="G5" s="289">
        <f>B5*Workforce_to_Post!B5</f>
        <v>246163.42886734364</v>
      </c>
      <c r="H5" s="268"/>
    </row>
    <row r="6" spans="1:8" ht="12.75" customHeight="1" x14ac:dyDescent="0.25">
      <c r="A6" s="288" t="s">
        <v>825</v>
      </c>
      <c r="B6" s="282">
        <f>Vendor_Pricing!B7</f>
        <v>77.335952066999994</v>
      </c>
      <c r="C6" s="282">
        <f>B6-Appraisal_Full_Scope_Report!$F$8</f>
        <v>-52.640437961571422</v>
      </c>
      <c r="D6" s="283">
        <f>IFERROR(C6/Appraisal_Full_Scope_Report!$F$8,0)</f>
        <v>-0.40499999999999997</v>
      </c>
      <c r="E6" s="280" t="str">
        <f>IF(B6&lt;Vendor_Pricing!B6,"Below Floor",IF(B6&lt;Vendor_Pricing!B7,"Floor to Target",IF(B6&lt;=Vendor_Pricing!B8,"Target to Ceiling","Above Ceiling")))</f>
        <v>Target to Ceiling</v>
      </c>
      <c r="F6" s="280" t="str">
        <f>IF(E6="Below Floor","High risk underbid",IF(E6="Floor to Target","Best value",IF(E6="Target to Ceiling","Acceptable","Overpriced")))</f>
        <v>Acceptable</v>
      </c>
      <c r="G6" s="289">
        <f>B6*Workforce_to_Post!B5</f>
        <v>298912.73505320301</v>
      </c>
      <c r="H6" s="268"/>
    </row>
    <row r="7" spans="1:8" ht="12.75" customHeight="1" x14ac:dyDescent="0.25">
      <c r="A7" s="288" t="s">
        <v>826</v>
      </c>
      <c r="B7" s="282">
        <f>Vendor_Pricing!B8</f>
        <v>90.983473019999991</v>
      </c>
      <c r="C7" s="282">
        <f>B7-Appraisal_Full_Scope_Report!$F$8</f>
        <v>-38.992917008571425</v>
      </c>
      <c r="D7" s="283">
        <f>IFERROR(C7/Appraisal_Full_Scope_Report!$F$8,0)</f>
        <v>-0.3</v>
      </c>
      <c r="E7" s="280" t="str">
        <f>IF(B7&lt;Vendor_Pricing!B6,"Below Floor",IF(B7&lt;Vendor_Pricing!B7,"Floor to Target",IF(B7&lt;=Vendor_Pricing!B8,"Target to Ceiling","Above Ceiling")))</f>
        <v>Target to Ceiling</v>
      </c>
      <c r="F7" s="280" t="str">
        <f>IF(E7="Below Floor","High risk underbid",IF(E7="Floor to Target","Best value",IF(E7="Target to Ceiling","Acceptable","Overpriced")))</f>
        <v>Acceptable</v>
      </c>
      <c r="G7" s="289">
        <f>B7*Workforce_to_Post!B5</f>
        <v>351662.04123906238</v>
      </c>
      <c r="H7" s="268"/>
    </row>
    <row r="8" spans="1:8" ht="12.75" hidden="1" customHeight="1" x14ac:dyDescent="0.25">
      <c r="A8" s="290" t="s">
        <v>827</v>
      </c>
      <c r="B8" s="291">
        <f>IF(_Calc_Backend!U5&gt;0,_Calc_Backend!U15,Vendor_Pricing!B7)</f>
        <v>64.785000000000011</v>
      </c>
      <c r="C8" s="291">
        <f>B8-Appraisal_Full_Scope_Report!$F$8</f>
        <v>-65.191390028571405</v>
      </c>
      <c r="D8" s="292">
        <f>IFERROR(C8/Appraisal_Full_Scope_Report!$F$8,0)</f>
        <v>-0.50156332249450097</v>
      </c>
      <c r="E8" s="293" t="str">
        <f>IF(B8&lt;Vendor_Pricing!B6,"Below Floor",IF(B8&lt;Vendor_Pricing!B7,"Floor to Target",IF(B8&lt;=Vendor_Pricing!B8,"Target to Ceiling","Above Ceiling")))</f>
        <v>Floor to Target</v>
      </c>
      <c r="F8" s="293" t="str">
        <f>IF(E8="Below Floor","High risk underbid",IF(E8="Floor to Target","Best value",IF(E8="Target to Ceiling","Acceptable","Overpriced")))</f>
        <v>Best value</v>
      </c>
      <c r="G8" s="294">
        <f>B8*Workforce_to_Post!B5</f>
        <v>250401.79920000004</v>
      </c>
      <c r="H8" s="268"/>
    </row>
  </sheetData>
  <mergeCells count="2">
    <mergeCell ref="A1:H1"/>
    <mergeCell ref="A2:H2"/>
  </mergeCells>
  <pageMargins left="0.7" right="0.7" top="0.75" bottom="0.75" header="0.511811023622047" footer="0.511811023622047"/>
  <pageSetup paperSize="9" orientation="portrait" horizontalDpi="300" verticalDpi="300"/>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9"/>
  <sheetViews>
    <sheetView zoomScaleNormal="100" workbookViewId="0"/>
  </sheetViews>
  <sheetFormatPr defaultColWidth="8.6640625" defaultRowHeight="12.75" customHeight="1" x14ac:dyDescent="0.25"/>
  <cols>
    <col min="1" max="1" width="26" customWidth="1"/>
    <col min="2" max="2" width="16.88671875" customWidth="1"/>
    <col min="3" max="3" width="18.109375" customWidth="1"/>
    <col min="4" max="4" width="16" customWidth="1"/>
    <col min="5" max="5" width="12" customWidth="1"/>
    <col min="6" max="6" width="40" customWidth="1"/>
  </cols>
  <sheetData>
    <row r="1" spans="1:8" ht="17.25" customHeight="1" x14ac:dyDescent="0.25">
      <c r="A1" s="409" t="s">
        <v>828</v>
      </c>
      <c r="B1" s="409"/>
      <c r="C1" s="409"/>
      <c r="D1" s="409"/>
      <c r="E1" s="409"/>
      <c r="F1" s="409"/>
      <c r="G1" s="409"/>
      <c r="H1" s="409"/>
    </row>
    <row r="2" spans="1:8" ht="12.75" customHeight="1" x14ac:dyDescent="0.25">
      <c r="A2" s="410" t="s">
        <v>829</v>
      </c>
      <c r="B2" s="410"/>
      <c r="C2" s="410"/>
      <c r="D2" s="410"/>
      <c r="E2" s="410"/>
      <c r="F2" s="410"/>
      <c r="G2" s="410"/>
      <c r="H2" s="410"/>
    </row>
    <row r="3" spans="1:8" ht="12.75" customHeight="1" x14ac:dyDescent="0.25">
      <c r="A3" s="268"/>
      <c r="B3" s="268"/>
      <c r="C3" s="268"/>
      <c r="D3" s="268"/>
      <c r="E3" s="268"/>
      <c r="F3" s="268"/>
      <c r="G3" s="268"/>
      <c r="H3" s="268"/>
    </row>
    <row r="4" spans="1:8" ht="12.75" customHeight="1" x14ac:dyDescent="0.25">
      <c r="A4" s="295" t="s">
        <v>830</v>
      </c>
      <c r="B4" s="295" t="s">
        <v>831</v>
      </c>
      <c r="C4" s="295" t="s">
        <v>832</v>
      </c>
      <c r="D4" s="295" t="s">
        <v>833</v>
      </c>
      <c r="E4" s="295" t="s">
        <v>834</v>
      </c>
      <c r="F4" s="295" t="s">
        <v>63</v>
      </c>
      <c r="G4" s="268"/>
      <c r="H4" s="268"/>
    </row>
    <row r="5" spans="1:8" ht="21" customHeight="1" x14ac:dyDescent="0.25">
      <c r="A5" s="280" t="s">
        <v>835</v>
      </c>
      <c r="B5" s="282">
        <f>Government_IGCE_Model!B3</f>
        <v>30.000000000000004</v>
      </c>
      <c r="C5" s="282">
        <f>Government_TCO!B7</f>
        <v>180460.80000000002</v>
      </c>
      <c r="D5" s="282">
        <f>C5-B5</f>
        <v>180430.80000000002</v>
      </c>
      <c r="E5" s="283">
        <f>IFERROR(D5/B5,0)</f>
        <v>6014.36</v>
      </c>
      <c r="F5" s="280" t="s">
        <v>836</v>
      </c>
      <c r="G5" s="268"/>
      <c r="H5" s="268"/>
    </row>
    <row r="6" spans="1:8" ht="12.75" customHeight="1" x14ac:dyDescent="0.25">
      <c r="A6" s="280" t="s">
        <v>527</v>
      </c>
      <c r="B6" s="282">
        <f>Government_IGCE_Model!B5</f>
        <v>38720.000000000007</v>
      </c>
      <c r="C6" s="282">
        <f>Training_Module!J9</f>
        <v>38720.000000000007</v>
      </c>
      <c r="D6" s="282">
        <f>C6-B6</f>
        <v>0</v>
      </c>
      <c r="E6" s="283">
        <f>IFERROR(D6/B6,0)</f>
        <v>0</v>
      </c>
      <c r="F6" s="280" t="s">
        <v>837</v>
      </c>
      <c r="G6" s="268"/>
      <c r="H6" s="268"/>
    </row>
    <row r="7" spans="1:8" ht="21" customHeight="1" x14ac:dyDescent="0.25">
      <c r="A7" s="280" t="s">
        <v>525</v>
      </c>
      <c r="B7" s="282">
        <f>Government_IGCE_Model!B4</f>
        <v>15029.440000000002</v>
      </c>
      <c r="C7" s="282">
        <f>Workforce_Maintenance_Module!E7</f>
        <v>15029.440000000002</v>
      </c>
      <c r="D7" s="282">
        <f>C7-B7</f>
        <v>0</v>
      </c>
      <c r="E7" s="283">
        <f>IFERROR(D7/B7,0)</f>
        <v>0</v>
      </c>
      <c r="F7" s="280" t="s">
        <v>838</v>
      </c>
      <c r="G7" s="268"/>
      <c r="H7" s="268"/>
    </row>
    <row r="8" spans="1:8" ht="21" customHeight="1" x14ac:dyDescent="0.25">
      <c r="A8" s="280" t="s">
        <v>839</v>
      </c>
      <c r="B8" s="282">
        <f>Government_IGCE_Model!B6</f>
        <v>1447.5</v>
      </c>
      <c r="C8" s="282">
        <f>Equipment_Uniform_Module!E7</f>
        <v>1447.5</v>
      </c>
      <c r="D8" s="282">
        <f>C8-B8</f>
        <v>0</v>
      </c>
      <c r="E8" s="283">
        <f>IFERROR(D8/B8,0)</f>
        <v>0</v>
      </c>
      <c r="F8" s="280" t="s">
        <v>840</v>
      </c>
      <c r="G8" s="268"/>
      <c r="H8" s="268"/>
    </row>
    <row r="9" spans="1:8" ht="12.75" customHeight="1" x14ac:dyDescent="0.25">
      <c r="A9" s="280" t="s">
        <v>841</v>
      </c>
      <c r="B9" s="282">
        <f>Government_IGCE_Model!B7</f>
        <v>55226.94000000001</v>
      </c>
      <c r="C9" s="282">
        <f>Capital_Recovery_Receipt!C11</f>
        <v>1644860.1806054397</v>
      </c>
      <c r="D9" s="282">
        <f>C9-B9</f>
        <v>1589633.2406054398</v>
      </c>
      <c r="E9" s="283">
        <f>IFERROR(D9/B9,0)</f>
        <v>28.78365595858542</v>
      </c>
      <c r="F9" s="280" t="s">
        <v>842</v>
      </c>
      <c r="G9" s="268"/>
      <c r="H9" s="268"/>
    </row>
  </sheetData>
  <mergeCells count="2">
    <mergeCell ref="A1:H1"/>
    <mergeCell ref="A2:H2"/>
  </mergeCells>
  <pageMargins left="0.7" right="0.7" top="0.75" bottom="0.75" header="0.511811023622047" footer="0.511811023622047"/>
  <pageSetup paperSize="9"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14"/>
  <sheetViews>
    <sheetView zoomScaleNormal="100" workbookViewId="0"/>
  </sheetViews>
  <sheetFormatPr defaultColWidth="8.6640625" defaultRowHeight="12.75" customHeight="1" x14ac:dyDescent="0.25"/>
  <cols>
    <col min="1" max="1" width="28" customWidth="1"/>
    <col min="2" max="2" width="16" customWidth="1"/>
    <col min="4" max="4" width="26" customWidth="1"/>
    <col min="5" max="5" width="20" customWidth="1"/>
    <col min="7" max="7" width="20" customWidth="1"/>
    <col min="8" max="8" width="14" customWidth="1"/>
    <col min="9" max="9" width="24" customWidth="1"/>
  </cols>
  <sheetData>
    <row r="1" spans="1:10" ht="17.25" customHeight="1" x14ac:dyDescent="0.25">
      <c r="A1" s="409" t="s">
        <v>843</v>
      </c>
      <c r="B1" s="409"/>
      <c r="C1" s="409"/>
      <c r="D1" s="409"/>
      <c r="E1" s="409"/>
      <c r="F1" s="409"/>
      <c r="G1" s="409"/>
      <c r="H1" s="409"/>
      <c r="I1" s="409"/>
      <c r="J1" s="409"/>
    </row>
    <row r="2" spans="1:10" ht="12" customHeight="1" x14ac:dyDescent="0.25">
      <c r="A2" s="410" t="s">
        <v>844</v>
      </c>
      <c r="B2" s="410"/>
      <c r="C2" s="410"/>
      <c r="D2" s="410"/>
      <c r="E2" s="410"/>
      <c r="F2" s="410"/>
      <c r="G2" s="410"/>
      <c r="H2" s="410"/>
      <c r="I2" s="410"/>
      <c r="J2" s="410"/>
    </row>
    <row r="3" spans="1:10" ht="12.75" customHeight="1" x14ac:dyDescent="0.25">
      <c r="A3" s="268"/>
      <c r="B3" s="268"/>
      <c r="C3" s="268"/>
      <c r="D3" s="268"/>
      <c r="E3" s="268"/>
      <c r="F3" s="268"/>
      <c r="G3" s="268"/>
      <c r="H3" s="268"/>
      <c r="I3" s="268"/>
      <c r="J3" s="268"/>
    </row>
    <row r="4" spans="1:10" ht="21" customHeight="1" x14ac:dyDescent="0.25">
      <c r="A4" s="295" t="s">
        <v>845</v>
      </c>
      <c r="B4" s="295" t="s">
        <v>241</v>
      </c>
      <c r="C4" s="268"/>
      <c r="D4" s="295" t="s">
        <v>846</v>
      </c>
      <c r="E4" s="296"/>
      <c r="F4" s="268"/>
      <c r="G4" s="295" t="s">
        <v>708</v>
      </c>
      <c r="H4" s="268"/>
      <c r="I4" s="268"/>
      <c r="J4" s="268"/>
    </row>
    <row r="5" spans="1:10" ht="12.75" customHeight="1" x14ac:dyDescent="0.25">
      <c r="A5" s="281" t="s">
        <v>9</v>
      </c>
      <c r="B5" s="284">
        <f>Appraisal_Full_Scope_Report!$F$15</f>
        <v>17472</v>
      </c>
      <c r="C5" s="268"/>
      <c r="D5" s="280" t="s">
        <v>847</v>
      </c>
      <c r="E5" s="280" t="str">
        <f>IF(B8="","No Rate",IF(B8&lt;Vendor_Pricing!B6,"Below Floor",IF(B8&lt;Vendor_Pricing!B7,"Floor to Target",IF(B8&lt;=Vendor_Pricing!B8,"Target to Ceiling","Above Ceiling"))))</f>
        <v>Floor to Target</v>
      </c>
      <c r="F5" s="268"/>
      <c r="G5" s="297" t="s">
        <v>634</v>
      </c>
      <c r="H5" s="297" t="s">
        <v>710</v>
      </c>
      <c r="I5" s="297" t="s">
        <v>848</v>
      </c>
      <c r="J5" s="268"/>
    </row>
    <row r="6" spans="1:10" ht="16.5" customHeight="1" x14ac:dyDescent="0.25">
      <c r="A6" s="281" t="s">
        <v>14</v>
      </c>
      <c r="B6" s="282">
        <f>Appraisal_Full_Scope_Report!$F$8</f>
        <v>129.97639002857142</v>
      </c>
      <c r="C6" s="268"/>
      <c r="D6" s="280" t="s">
        <v>798</v>
      </c>
      <c r="E6" s="298" t="str">
        <f>IF(E5="Below Floor","D",IF(E5="Floor to Target","A",IF(E5="Target to Ceiling","B",IF(E5="Above Ceiling","C","NR"))))</f>
        <v>A</v>
      </c>
      <c r="F6" s="268"/>
      <c r="G6" s="280" t="s">
        <v>849</v>
      </c>
      <c r="H6" s="282">
        <f>Vendor_Pricing!B6-0.01</f>
        <v>63.678431113999991</v>
      </c>
      <c r="I6" s="280" t="s">
        <v>850</v>
      </c>
      <c r="J6" s="268"/>
    </row>
    <row r="7" spans="1:10" ht="21" customHeight="1" x14ac:dyDescent="0.25">
      <c r="A7" s="281" t="s">
        <v>19</v>
      </c>
      <c r="B7" s="282">
        <f>Appraisal_Full_Scope_Report!$H$8</f>
        <v>90.983473019999991</v>
      </c>
      <c r="C7" s="268"/>
      <c r="D7" s="280" t="s">
        <v>408</v>
      </c>
      <c r="E7" s="280" t="str">
        <f>IF(E5="Below Floor","High performance risk / underbid",IF(E5="Floor to Target","Best value zone",IF(E5="Target to Ceiling","Acceptable with justification",IF(E5="Above Ceiling","Premium / likely overpriced","Review inputs"))))</f>
        <v>Best value zone</v>
      </c>
      <c r="F7" s="268"/>
      <c r="G7" s="280" t="s">
        <v>851</v>
      </c>
      <c r="H7" s="282">
        <f>AVERAGE(Vendor_Pricing!B6,Vendor_Pricing!B7)</f>
        <v>70.512191590499995</v>
      </c>
      <c r="I7" s="280" t="s">
        <v>852</v>
      </c>
      <c r="J7" s="268"/>
    </row>
    <row r="8" spans="1:10" ht="12.75" customHeight="1" x14ac:dyDescent="0.25">
      <c r="A8" s="281" t="s">
        <v>853</v>
      </c>
      <c r="B8" s="282">
        <f>IF(_Calc_Backend!U5&gt;0,_Calc_Backend!U15,Vendor_Pricing!B7)</f>
        <v>64.785000000000011</v>
      </c>
      <c r="C8" s="268"/>
      <c r="D8" s="280"/>
      <c r="E8" s="280"/>
      <c r="F8" s="268"/>
      <c r="G8" s="280" t="s">
        <v>854</v>
      </c>
      <c r="H8" s="282">
        <f>AVERAGE(Vendor_Pricing!B7,Vendor_Pricing!B8)</f>
        <v>84.159712543499992</v>
      </c>
      <c r="I8" s="280" t="s">
        <v>855</v>
      </c>
      <c r="J8" s="268"/>
    </row>
    <row r="9" spans="1:10" ht="12.75" customHeight="1" x14ac:dyDescent="0.25">
      <c r="A9" s="281" t="s">
        <v>856</v>
      </c>
      <c r="B9" s="282">
        <f>Appraisal_Full_Scope_Report!$F$19</f>
        <v>2270947.4865791998</v>
      </c>
      <c r="C9" s="268"/>
      <c r="D9" s="278" t="s">
        <v>857</v>
      </c>
      <c r="E9" s="280"/>
      <c r="F9" s="268"/>
      <c r="G9" s="280" t="s">
        <v>858</v>
      </c>
      <c r="H9" s="282">
        <f>Vendor_Pricing!B8+0.01</f>
        <v>90.993473019999996</v>
      </c>
      <c r="I9" s="280" t="s">
        <v>859</v>
      </c>
      <c r="J9" s="268"/>
    </row>
    <row r="10" spans="1:10" ht="12.75" customHeight="1" x14ac:dyDescent="0.25">
      <c r="A10" s="281" t="s">
        <v>860</v>
      </c>
      <c r="B10" s="282">
        <f>Appraisal_Full_Scope_Report!$H$19</f>
        <v>1589663.2406054398</v>
      </c>
      <c r="C10" s="268"/>
      <c r="D10" s="281" t="s">
        <v>861</v>
      </c>
      <c r="E10" s="282">
        <f>Government_IGCE_Model!B7</f>
        <v>55226.94000000001</v>
      </c>
      <c r="F10" s="268"/>
      <c r="G10" s="280" t="s">
        <v>827</v>
      </c>
      <c r="H10" s="282">
        <f>IF(_Calc_Backend!U5&gt;0,_Calc_Backend!U15,Vendor_Pricing!B7)</f>
        <v>64.785000000000011</v>
      </c>
      <c r="I10" s="280" t="str">
        <f>E7</f>
        <v>Best value zone</v>
      </c>
      <c r="J10" s="268"/>
    </row>
    <row r="11" spans="1:10" ht="12.75" customHeight="1" x14ac:dyDescent="0.25">
      <c r="A11" s="281" t="s">
        <v>862</v>
      </c>
      <c r="B11" s="282">
        <f>Appraisal_Full_Scope_Report!$H$20</f>
        <v>681284.24597376003</v>
      </c>
      <c r="C11" s="268"/>
      <c r="D11" s="281" t="s">
        <v>812</v>
      </c>
      <c r="E11" s="282">
        <f>Training_Module!J9</f>
        <v>38720.000000000007</v>
      </c>
      <c r="F11" s="268"/>
      <c r="G11" s="280"/>
      <c r="H11" s="280"/>
      <c r="I11" s="280"/>
      <c r="J11" s="268"/>
    </row>
    <row r="12" spans="1:10" ht="21" customHeight="1" x14ac:dyDescent="0.25">
      <c r="A12" s="281" t="s">
        <v>801</v>
      </c>
      <c r="B12" s="283">
        <f>Appraisal_Full_Scope_Report!$H$21</f>
        <v>0.30000000000000004</v>
      </c>
      <c r="C12" s="268"/>
      <c r="D12" s="281" t="s">
        <v>814</v>
      </c>
      <c r="E12" s="282">
        <f>Workforce_Maintenance_Module!E7</f>
        <v>15029.440000000002</v>
      </c>
      <c r="F12" s="268"/>
      <c r="G12" s="268"/>
      <c r="H12" s="268"/>
      <c r="I12" s="268"/>
      <c r="J12" s="268"/>
    </row>
    <row r="13" spans="1:10" ht="12.75" customHeight="1" x14ac:dyDescent="0.25">
      <c r="A13" s="268"/>
      <c r="B13" s="268"/>
      <c r="C13" s="268"/>
      <c r="D13" s="281" t="s">
        <v>863</v>
      </c>
      <c r="E13" s="282">
        <f>Equipment_Uniform_Module!E7</f>
        <v>1447.5</v>
      </c>
      <c r="F13" s="268"/>
      <c r="G13" s="268"/>
      <c r="H13" s="268"/>
      <c r="I13" s="268"/>
      <c r="J13" s="268"/>
    </row>
    <row r="14" spans="1:10" ht="21" customHeight="1" x14ac:dyDescent="0.25">
      <c r="A14" s="268"/>
      <c r="B14" s="268"/>
      <c r="C14" s="268"/>
      <c r="D14" s="281" t="s">
        <v>864</v>
      </c>
      <c r="E14" s="282">
        <f>Workforce_to_Post!B18</f>
        <v>242986.11427200001</v>
      </c>
      <c r="F14" s="268"/>
      <c r="G14" s="268"/>
      <c r="H14" s="268"/>
      <c r="I14" s="268"/>
      <c r="J14" s="268"/>
    </row>
  </sheetData>
  <mergeCells count="2">
    <mergeCell ref="A1:J1"/>
    <mergeCell ref="A2:J2"/>
  </mergeCells>
  <pageMargins left="0.7" right="0.7" top="0.75" bottom="0.75" header="0.511811023622047" footer="0.511811023622047"/>
  <pageSetup paperSize="9"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D25"/>
  <sheetViews>
    <sheetView zoomScaleNormal="100" workbookViewId="0"/>
  </sheetViews>
  <sheetFormatPr defaultColWidth="8.6640625" defaultRowHeight="12.75" customHeight="1" x14ac:dyDescent="0.25"/>
  <cols>
    <col min="1" max="1" width="26" customWidth="1"/>
    <col min="2" max="4" width="14" customWidth="1"/>
  </cols>
  <sheetData>
    <row r="1" spans="1:4" ht="13.5" customHeight="1" x14ac:dyDescent="0.3">
      <c r="A1" s="299" t="s">
        <v>865</v>
      </c>
      <c r="B1" s="299"/>
      <c r="C1" s="299"/>
      <c r="D1" s="299"/>
    </row>
    <row r="3" spans="1:4" ht="10.5" customHeight="1" x14ac:dyDescent="0.25">
      <c r="A3" s="253" t="s">
        <v>708</v>
      </c>
      <c r="B3" s="253" t="s">
        <v>710</v>
      </c>
      <c r="C3" s="300"/>
      <c r="D3" s="300"/>
    </row>
    <row r="4" spans="1:4" ht="12.75" customHeight="1" x14ac:dyDescent="0.25">
      <c r="A4" s="162" t="s">
        <v>866</v>
      </c>
      <c r="B4" s="160">
        <f>Vendor_Pricing!B6</f>
        <v>63.688431113999989</v>
      </c>
      <c r="C4" s="162"/>
      <c r="D4" s="162"/>
    </row>
    <row r="5" spans="1:4" ht="12.75" customHeight="1" x14ac:dyDescent="0.25">
      <c r="A5" s="162" t="s">
        <v>825</v>
      </c>
      <c r="B5" s="160">
        <f>Vendor_Pricing!B7</f>
        <v>77.335952066999994</v>
      </c>
      <c r="C5" s="162"/>
      <c r="D5" s="162"/>
    </row>
    <row r="6" spans="1:4" ht="12.75" customHeight="1" x14ac:dyDescent="0.25">
      <c r="A6" s="162" t="s">
        <v>826</v>
      </c>
      <c r="B6" s="160">
        <f>Vendor_Pricing!B8</f>
        <v>90.983473019999991</v>
      </c>
      <c r="C6" s="162"/>
      <c r="D6" s="162"/>
    </row>
    <row r="7" spans="1:4" ht="12.75" customHeight="1" x14ac:dyDescent="0.25">
      <c r="A7" s="162"/>
      <c r="B7" s="162"/>
      <c r="C7" s="162"/>
      <c r="D7" s="162"/>
    </row>
    <row r="8" spans="1:4" ht="10.5" customHeight="1" x14ac:dyDescent="0.25">
      <c r="A8" s="253" t="s">
        <v>867</v>
      </c>
      <c r="B8" s="253"/>
      <c r="C8" s="253"/>
      <c r="D8" s="253"/>
    </row>
    <row r="9" spans="1:4" ht="10.5" customHeight="1" x14ac:dyDescent="0.25">
      <c r="A9" s="255" t="s">
        <v>703</v>
      </c>
      <c r="B9" s="255" t="s">
        <v>357</v>
      </c>
      <c r="C9" s="162"/>
      <c r="D9" s="162"/>
    </row>
    <row r="10" spans="1:4" ht="12.75" customHeight="1" x14ac:dyDescent="0.25">
      <c r="A10" s="162" t="s">
        <v>868</v>
      </c>
      <c r="B10" s="301">
        <f>Inputs!B6</f>
        <v>1456</v>
      </c>
      <c r="C10" s="162"/>
      <c r="D10" s="162"/>
    </row>
    <row r="11" spans="1:4" ht="12.75" customHeight="1" x14ac:dyDescent="0.25">
      <c r="A11" s="162" t="s">
        <v>869</v>
      </c>
      <c r="B11" s="301">
        <f>Inputs!B44-Inputs!B6</f>
        <v>2288</v>
      </c>
      <c r="C11" s="162"/>
      <c r="D11" s="162"/>
    </row>
    <row r="12" spans="1:4" ht="12.75" customHeight="1" x14ac:dyDescent="0.25">
      <c r="A12" s="162" t="s">
        <v>870</v>
      </c>
      <c r="B12" s="301">
        <f>IFERROR(Training_Module!J9/Workforce_to_Post!B13,0)</f>
        <v>1147.5992886781271</v>
      </c>
      <c r="C12" s="162"/>
      <c r="D12" s="162"/>
    </row>
    <row r="13" spans="1:4" ht="12.75" customHeight="1" x14ac:dyDescent="0.25">
      <c r="A13" s="162"/>
      <c r="B13" s="162"/>
      <c r="C13" s="162"/>
      <c r="D13" s="162"/>
    </row>
    <row r="14" spans="1:4" ht="12.75" customHeight="1" x14ac:dyDescent="0.25">
      <c r="A14" s="162"/>
      <c r="B14" s="162"/>
      <c r="C14" s="162"/>
      <c r="D14" s="162"/>
    </row>
    <row r="15" spans="1:4" ht="10.5" customHeight="1" x14ac:dyDescent="0.25">
      <c r="A15" s="253" t="s">
        <v>871</v>
      </c>
      <c r="B15" s="253"/>
      <c r="C15" s="253"/>
      <c r="D15" s="253"/>
    </row>
    <row r="16" spans="1:4" ht="10.5" customHeight="1" x14ac:dyDescent="0.25">
      <c r="A16" s="255" t="s">
        <v>872</v>
      </c>
      <c r="B16" s="255" t="s">
        <v>873</v>
      </c>
      <c r="C16" s="255" t="s">
        <v>527</v>
      </c>
      <c r="D16" s="255" t="s">
        <v>706</v>
      </c>
    </row>
    <row r="17" spans="1:4" ht="12.75" customHeight="1" x14ac:dyDescent="0.25">
      <c r="A17" s="162" t="str">
        <f>IF(_Calc_Backend!B7="","Post 1",_Calc_Backend!B7)</f>
        <v>Post 1</v>
      </c>
      <c r="B17" s="254">
        <f>IFERROR(_Calc_Backend!O7*52,0)</f>
        <v>294752.64000000001</v>
      </c>
      <c r="C17" s="254">
        <f>IFERROR(_Calc_Backend!Q7*52,0)</f>
        <v>0</v>
      </c>
      <c r="D17" s="254">
        <f>IFERROR((_Calc_Backend!S7/_Calc_Backend!U10)*Uniform_Equipment!C35,0)</f>
        <v>9671.9699999999993</v>
      </c>
    </row>
    <row r="18" spans="1:4" ht="12.75" customHeight="1" x14ac:dyDescent="0.25">
      <c r="A18" s="162" t="str">
        <f>IF(_Calc_Backend!B8="","Post 2",_Calc_Backend!B8)</f>
        <v>Post 2</v>
      </c>
      <c r="B18" s="254">
        <f>IFERROR(_Calc_Backend!O8*52,0)</f>
        <v>294752.64000000001</v>
      </c>
      <c r="C18" s="254">
        <f>IFERROR(_Calc_Backend!Q8*52,0)</f>
        <v>0</v>
      </c>
      <c r="D18" s="254">
        <f>IFERROR((_Calc_Backend!S8/_Calc_Backend!U10)*Uniform_Equipment!C35,0)</f>
        <v>9671.9699999999993</v>
      </c>
    </row>
    <row r="19" spans="1:4" ht="12.75" customHeight="1" x14ac:dyDescent="0.25">
      <c r="A19" s="162" t="str">
        <f>IF(_Calc_Backend!B9="","Post 3",_Calc_Backend!B9)</f>
        <v>Post 3</v>
      </c>
      <c r="B19" s="254">
        <f>IFERROR(_Calc_Backend!O9*52,0)</f>
        <v>0</v>
      </c>
      <c r="C19" s="254">
        <f>IFERROR(_Calc_Backend!Q9*52,0)</f>
        <v>0</v>
      </c>
      <c r="D19" s="254">
        <f>IFERROR((_Calc_Backend!S9/_Calc_Backend!U10)*Uniform_Equipment!C35,0)</f>
        <v>0</v>
      </c>
    </row>
    <row r="20" spans="1:4" ht="12.75" customHeight="1" x14ac:dyDescent="0.25">
      <c r="A20" s="162"/>
      <c r="B20" s="162"/>
      <c r="C20" s="162"/>
      <c r="D20" s="162"/>
    </row>
    <row r="21" spans="1:4" ht="12.75" customHeight="1" x14ac:dyDescent="0.25">
      <c r="A21" s="162"/>
      <c r="B21" s="162"/>
      <c r="C21" s="162"/>
      <c r="D21" s="162"/>
    </row>
    <row r="22" spans="1:4" ht="10.5" customHeight="1" x14ac:dyDescent="0.25">
      <c r="A22" s="253" t="s">
        <v>874</v>
      </c>
      <c r="B22" s="253"/>
      <c r="C22" s="253"/>
      <c r="D22" s="253"/>
    </row>
    <row r="23" spans="1:4" ht="10.5" customHeight="1" x14ac:dyDescent="0.25">
      <c r="A23" s="255" t="s">
        <v>75</v>
      </c>
      <c r="B23" s="255" t="s">
        <v>241</v>
      </c>
      <c r="C23" s="162"/>
      <c r="D23" s="162"/>
    </row>
    <row r="24" spans="1:4" ht="12.75" customHeight="1" x14ac:dyDescent="0.25">
      <c r="A24" s="162" t="s">
        <v>875</v>
      </c>
      <c r="B24" s="254">
        <f>Government_TCO!B15</f>
        <v>681284.24597376003</v>
      </c>
      <c r="C24" s="162"/>
      <c r="D24" s="162"/>
    </row>
    <row r="25" spans="1:4" ht="12.75" customHeight="1" x14ac:dyDescent="0.25">
      <c r="A25" s="162" t="s">
        <v>876</v>
      </c>
      <c r="B25" s="254">
        <f>Government_TCO!B13</f>
        <v>1589663.2406054398</v>
      </c>
      <c r="C25" s="162"/>
      <c r="D25" s="162"/>
    </row>
  </sheetData>
  <pageMargins left="0.7" right="0.7" top="0.75" bottom="0.75" header="0.511811023622047" footer="0.511811023622047"/>
  <pageSetup paperSize="9"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J14"/>
  <sheetViews>
    <sheetView zoomScaleNormal="100" workbookViewId="0"/>
  </sheetViews>
  <sheetFormatPr defaultColWidth="8.6640625" defaultRowHeight="14.25" customHeight="1" x14ac:dyDescent="0.3"/>
  <cols>
    <col min="1" max="1" width="34" style="57" customWidth="1"/>
    <col min="2" max="2" width="18" style="57" hidden="1" customWidth="1"/>
    <col min="3" max="3" width="14" style="57" customWidth="1"/>
    <col min="4" max="4" width="16" style="57" customWidth="1"/>
    <col min="5" max="5" width="37.21875" style="57" customWidth="1"/>
    <col min="6" max="6" width="14" style="57" customWidth="1"/>
    <col min="7" max="9" width="18" style="57" customWidth="1"/>
    <col min="10" max="10" width="13" style="57" customWidth="1"/>
  </cols>
  <sheetData>
    <row r="1" spans="1:5" customFormat="1" ht="14.25" customHeight="1" x14ac:dyDescent="0.25">
      <c r="A1" s="360" t="s">
        <v>877</v>
      </c>
      <c r="B1" s="360"/>
      <c r="C1" s="360"/>
      <c r="D1" s="360"/>
      <c r="E1" s="360"/>
    </row>
    <row r="2" spans="1:5" customFormat="1" ht="10.5" customHeight="1" x14ac:dyDescent="0.25">
      <c r="A2" s="361" t="s">
        <v>132</v>
      </c>
      <c r="B2" s="361"/>
      <c r="C2" s="361"/>
      <c r="D2" s="361"/>
      <c r="E2" s="361"/>
    </row>
    <row r="3" spans="1:5" customFormat="1" ht="10.5" customHeight="1" x14ac:dyDescent="0.25">
      <c r="A3" s="123" t="s">
        <v>318</v>
      </c>
      <c r="B3" s="124" t="s">
        <v>319</v>
      </c>
      <c r="C3" s="124" t="s">
        <v>387</v>
      </c>
      <c r="D3" s="124" t="s">
        <v>388</v>
      </c>
      <c r="E3" s="146"/>
    </row>
    <row r="4" spans="1:5" customFormat="1" ht="10.5" customHeight="1" x14ac:dyDescent="0.25">
      <c r="A4" s="63" t="s">
        <v>496</v>
      </c>
      <c r="B4" s="192">
        <f>Direct_Labor!$C$11*Inputs!B23</f>
        <v>0</v>
      </c>
      <c r="C4" s="153">
        <f t="shared" ref="C4:C13" si="0">B4</f>
        <v>0</v>
      </c>
      <c r="D4" s="89">
        <f>C4*_Calc_Backend!$X$37</f>
        <v>0</v>
      </c>
    </row>
    <row r="5" spans="1:5" customFormat="1" ht="10.5" customHeight="1" x14ac:dyDescent="0.25">
      <c r="A5" s="63" t="s">
        <v>497</v>
      </c>
      <c r="B5" s="192">
        <f>Direct_Labor!$C$11*Inputs!B24</f>
        <v>0.62894700000000003</v>
      </c>
      <c r="C5" s="89">
        <f t="shared" si="0"/>
        <v>0.62894700000000003</v>
      </c>
      <c r="D5" s="89">
        <f>C5*_Calc_Backend!$X$37</f>
        <v>10988.961984000001</v>
      </c>
    </row>
    <row r="6" spans="1:5" customFormat="1" ht="10.5" customHeight="1" x14ac:dyDescent="0.25">
      <c r="A6" s="63" t="s">
        <v>498</v>
      </c>
      <c r="B6" s="89">
        <f>Uniform_Equipment!$C$36</f>
        <v>1.1071394230769229</v>
      </c>
      <c r="C6" s="89">
        <f t="shared" si="0"/>
        <v>1.1071394230769229</v>
      </c>
      <c r="D6" s="89">
        <f>Uniform_Equipment!$C$35</f>
        <v>19343.939999999999</v>
      </c>
    </row>
    <row r="7" spans="1:5" customFormat="1" ht="10.5" customHeight="1" x14ac:dyDescent="0.25">
      <c r="A7" s="63" t="s">
        <v>499</v>
      </c>
      <c r="B7" s="192">
        <f>Direct_Labor!$C$11*Inputs!B26</f>
        <v>0</v>
      </c>
      <c r="C7" s="153">
        <f t="shared" si="0"/>
        <v>0</v>
      </c>
      <c r="D7" s="153">
        <f>C7*_Calc_Backend!$X$37</f>
        <v>0</v>
      </c>
    </row>
    <row r="8" spans="1:5" customFormat="1" ht="10.5" customHeight="1" x14ac:dyDescent="0.25">
      <c r="A8" s="63" t="s">
        <v>500</v>
      </c>
      <c r="B8" s="192">
        <f>Direct_Labor!$C$11*Inputs!B27</f>
        <v>0</v>
      </c>
      <c r="C8" s="153">
        <f t="shared" si="0"/>
        <v>0</v>
      </c>
      <c r="D8" s="153">
        <f>C8*_Calc_Backend!$X$37</f>
        <v>0</v>
      </c>
    </row>
    <row r="9" spans="1:5" customFormat="1" ht="10.5" customHeight="1" x14ac:dyDescent="0.25">
      <c r="A9" s="63" t="s">
        <v>501</v>
      </c>
      <c r="B9" s="192">
        <f>Direct_Labor!$C$11*Inputs!B28</f>
        <v>0</v>
      </c>
      <c r="C9" s="153">
        <f t="shared" si="0"/>
        <v>0</v>
      </c>
      <c r="D9" s="153">
        <f>C9*_Calc_Backend!$X$37</f>
        <v>0</v>
      </c>
    </row>
    <row r="10" spans="1:5" customFormat="1" ht="10.5" customHeight="1" x14ac:dyDescent="0.25">
      <c r="A10" s="63" t="s">
        <v>502</v>
      </c>
      <c r="B10" s="88">
        <f>Vehicle!$C$30</f>
        <v>3.5046453546453544</v>
      </c>
      <c r="C10" s="191">
        <f t="shared" si="0"/>
        <v>3.5046453546453544</v>
      </c>
      <c r="D10" s="160">
        <f>Vehicle!$C$29</f>
        <v>61233.163636363635</v>
      </c>
    </row>
    <row r="11" spans="1:5" customFormat="1" ht="10.5" customHeight="1" x14ac:dyDescent="0.25">
      <c r="A11" s="63" t="s">
        <v>503</v>
      </c>
      <c r="B11" s="192">
        <f>Direct_Labor!$C$11*Inputs!B30</f>
        <v>0.419298</v>
      </c>
      <c r="C11" s="89">
        <f t="shared" si="0"/>
        <v>0.419298</v>
      </c>
      <c r="D11" s="89">
        <f>C11*_Calc_Backend!$X$37</f>
        <v>7325.9746560000003</v>
      </c>
    </row>
    <row r="12" spans="1:5" customFormat="1" ht="10.5" customHeight="1" x14ac:dyDescent="0.25">
      <c r="A12" s="63" t="s">
        <v>504</v>
      </c>
      <c r="B12" s="192">
        <f>Direct_Labor!$C$11*Inputs!B31</f>
        <v>3.7401381599999999</v>
      </c>
      <c r="C12" s="89">
        <f t="shared" si="0"/>
        <v>3.7401381599999999</v>
      </c>
      <c r="D12" s="89">
        <f>C12*_Calc_Backend!$X$37</f>
        <v>65347.69393152</v>
      </c>
    </row>
    <row r="13" spans="1:5" customFormat="1" ht="10.5" customHeight="1" x14ac:dyDescent="0.25">
      <c r="A13" s="63" t="s">
        <v>505</v>
      </c>
      <c r="B13" s="192">
        <f>Direct_Labor!$C$11*Inputs!B32</f>
        <v>0.31447350000000002</v>
      </c>
      <c r="C13" s="89">
        <f t="shared" si="0"/>
        <v>0.31447350000000002</v>
      </c>
      <c r="D13" s="89">
        <f>C13*_Calc_Backend!$X$37</f>
        <v>5494.4809920000007</v>
      </c>
    </row>
    <row r="14" spans="1:5" customFormat="1" ht="14.25" customHeight="1" x14ac:dyDescent="0.3">
      <c r="A14" s="140" t="s">
        <v>506</v>
      </c>
      <c r="B14" s="72"/>
      <c r="C14" s="141">
        <f>SUM(C4:C13)</f>
        <v>9.7146414377222783</v>
      </c>
      <c r="D14" s="141">
        <f>SUM(D4:D13)</f>
        <v>169734.21519988365</v>
      </c>
    </row>
  </sheetData>
  <mergeCells count="2">
    <mergeCell ref="A1:E1"/>
    <mergeCell ref="A2:E2"/>
  </mergeCells>
  <pageMargins left="0.7" right="0.7" top="0.75" bottom="0.75" header="0.511811023622047" footer="0.511811023622047"/>
  <pageSetup paperSize="9" orientation="portrait" horizontalDpi="300" verticalDpi="30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A6A6A6"/>
  </sheetPr>
  <dimension ref="A1:J40"/>
  <sheetViews>
    <sheetView zoomScaleNormal="100" workbookViewId="0">
      <selection activeCell="C43" sqref="C43"/>
    </sheetView>
  </sheetViews>
  <sheetFormatPr defaultColWidth="8.6640625" defaultRowHeight="14.25" customHeight="1" x14ac:dyDescent="0.3"/>
  <cols>
    <col min="1" max="1" width="70.21875" style="57" customWidth="1"/>
    <col min="2" max="2" width="18" style="57" customWidth="1"/>
    <col min="3" max="3" width="14" style="57" customWidth="1"/>
    <col min="4" max="4" width="16" style="57" customWidth="1"/>
    <col min="5" max="5" width="24" style="57" customWidth="1"/>
    <col min="6" max="6" width="14" style="57" customWidth="1"/>
    <col min="7" max="9" width="18" style="57" customWidth="1"/>
    <col min="10" max="10" width="13" style="57" customWidth="1"/>
  </cols>
  <sheetData>
    <row r="1" spans="1:5" customFormat="1" ht="14.25" customHeight="1" x14ac:dyDescent="0.25">
      <c r="A1" s="360" t="s">
        <v>878</v>
      </c>
      <c r="B1" s="360"/>
      <c r="C1" s="360"/>
      <c r="D1" s="360"/>
      <c r="E1" s="360"/>
    </row>
    <row r="2" spans="1:5" customFormat="1" ht="14.25" customHeight="1" x14ac:dyDescent="0.25">
      <c r="A2" s="361" t="s">
        <v>879</v>
      </c>
      <c r="B2" s="361"/>
      <c r="C2" s="361"/>
      <c r="D2" s="361"/>
      <c r="E2" s="361"/>
    </row>
    <row r="3" spans="1:5" customFormat="1" ht="15.75" customHeight="1" x14ac:dyDescent="0.25">
      <c r="A3" s="362" t="s">
        <v>880</v>
      </c>
      <c r="B3" s="362"/>
      <c r="C3" s="362"/>
      <c r="D3" s="362"/>
      <c r="E3" s="59"/>
    </row>
    <row r="4" spans="1:5" customFormat="1" ht="14.25" customHeight="1" x14ac:dyDescent="0.25">
      <c r="A4" s="165" t="s">
        <v>881</v>
      </c>
      <c r="B4" s="244">
        <f>IF(IFERROR(_Calc_Backend!$U$5,0)&gt;0,_Calc_Backend!$U$14,Inputs!$B$4)</f>
        <v>33.74</v>
      </c>
    </row>
    <row r="5" spans="1:5" customFormat="1" ht="14.25" customHeight="1" x14ac:dyDescent="0.25">
      <c r="A5" s="143" t="s">
        <v>882</v>
      </c>
      <c r="B5" s="302">
        <f>IFERROR(B4/Inputs!B43,0)</f>
        <v>48.2</v>
      </c>
    </row>
    <row r="6" spans="1:5" customFormat="1" ht="10.5" hidden="1" customHeight="1" x14ac:dyDescent="0.25">
      <c r="A6" s="63" t="s">
        <v>883</v>
      </c>
      <c r="B6" s="88">
        <f>Inputs!B44</f>
        <v>3744</v>
      </c>
    </row>
    <row r="7" spans="1:5" customFormat="1" ht="14.25" customHeight="1" x14ac:dyDescent="0.25">
      <c r="A7" s="143" t="s">
        <v>884</v>
      </c>
      <c r="B7" s="244">
        <f>B5*B6</f>
        <v>180460.80000000002</v>
      </c>
    </row>
    <row r="8" spans="1:5" customFormat="1" ht="14.25" customHeight="1" x14ac:dyDescent="0.25">
      <c r="A8" s="165" t="s">
        <v>885</v>
      </c>
      <c r="B8" s="154">
        <f>Appraisal_Full_Scope_Report!$F$8</f>
        <v>129.97639002857142</v>
      </c>
    </row>
    <row r="9" spans="1:5" customFormat="1" ht="14.25" customHeight="1" x14ac:dyDescent="0.25">
      <c r="A9" s="143" t="s">
        <v>886</v>
      </c>
      <c r="B9" s="303">
        <f>Appraisal_Full_Scope_Report!$H$8</f>
        <v>90.983473019999991</v>
      </c>
    </row>
    <row r="10" spans="1:5" customFormat="1" ht="14.25" customHeight="1" x14ac:dyDescent="0.25">
      <c r="A10" s="143" t="s">
        <v>676</v>
      </c>
      <c r="B10" s="154">
        <f>Appraisal_Full_Scope_Report!$J$8</f>
        <v>38.992917008571425</v>
      </c>
    </row>
    <row r="11" spans="1:5" customFormat="1" ht="14.25" customHeight="1" x14ac:dyDescent="0.25">
      <c r="A11" s="143" t="s">
        <v>887</v>
      </c>
      <c r="B11" s="304">
        <f>Appraisal_Full_Scope_Report!F15</f>
        <v>17472</v>
      </c>
    </row>
    <row r="12" spans="1:5" customFormat="1" ht="14.25" customHeight="1" x14ac:dyDescent="0.25">
      <c r="A12" s="305" t="s">
        <v>888</v>
      </c>
      <c r="B12" s="306">
        <f>Appraisal_Full_Scope_Report!$F$19</f>
        <v>2270947.4865791998</v>
      </c>
    </row>
    <row r="13" spans="1:5" customFormat="1" ht="14.25" customHeight="1" x14ac:dyDescent="0.25">
      <c r="A13" s="143" t="s">
        <v>889</v>
      </c>
      <c r="B13" s="307">
        <f>Appraisal_Full_Scope_Report!$H$19</f>
        <v>1589663.2406054398</v>
      </c>
    </row>
    <row r="14" spans="1:5" customFormat="1" ht="15.75" hidden="1" customHeight="1" x14ac:dyDescent="0.25">
      <c r="A14" s="411" t="s">
        <v>890</v>
      </c>
      <c r="B14" s="411"/>
      <c r="C14" s="411"/>
      <c r="D14" s="411"/>
      <c r="E14" s="59"/>
    </row>
    <row r="15" spans="1:5" customFormat="1" ht="14.25" customHeight="1" x14ac:dyDescent="0.25">
      <c r="A15" s="165" t="s">
        <v>679</v>
      </c>
      <c r="B15" s="307">
        <f>Appraisal_Full_Scope_Report!$H$20</f>
        <v>681284.24597376003</v>
      </c>
    </row>
    <row r="16" spans="1:5" customFormat="1" ht="6" hidden="1" customHeight="1" x14ac:dyDescent="0.25">
      <c r="A16" s="308" t="s">
        <v>891</v>
      </c>
      <c r="B16" s="309">
        <f>IFERROR(B8/B4,0)</f>
        <v>3.8522937175035983</v>
      </c>
    </row>
    <row r="17" spans="1:5" customFormat="1" ht="6" hidden="1" customHeight="1" x14ac:dyDescent="0.25">
      <c r="A17" s="143" t="s">
        <v>892</v>
      </c>
      <c r="B17" s="244">
        <f>IFERROR(B9/B4,0)</f>
        <v>2.6966056022525189</v>
      </c>
    </row>
    <row r="18" spans="1:5" customFormat="1" ht="6" hidden="1" customHeight="1" x14ac:dyDescent="0.25">
      <c r="A18" s="63" t="s">
        <v>173</v>
      </c>
      <c r="B18" s="310">
        <f>Inputs!B43</f>
        <v>0.7</v>
      </c>
    </row>
    <row r="19" spans="1:5" customFormat="1" ht="6" hidden="1" customHeight="1" x14ac:dyDescent="0.25">
      <c r="A19" s="63" t="s">
        <v>174</v>
      </c>
      <c r="B19" s="88">
        <f>Inputs!B44</f>
        <v>3744</v>
      </c>
    </row>
    <row r="20" spans="1:5" customFormat="1" ht="66" hidden="1" customHeight="1" x14ac:dyDescent="0.25">
      <c r="A20" s="85" t="s">
        <v>176</v>
      </c>
      <c r="B20" s="85" t="s">
        <v>893</v>
      </c>
    </row>
    <row r="21" spans="1:5" customFormat="1" ht="5.25" customHeight="1" x14ac:dyDescent="0.25"/>
    <row r="22" spans="1:5" customFormat="1" ht="15.75" hidden="1" customHeight="1" x14ac:dyDescent="0.25">
      <c r="A22" s="58" t="s">
        <v>894</v>
      </c>
      <c r="B22" s="59"/>
      <c r="C22" s="59"/>
      <c r="D22" s="59"/>
      <c r="E22" s="59"/>
    </row>
    <row r="23" spans="1:5" customFormat="1" ht="10.5" hidden="1" customHeight="1" x14ac:dyDescent="0.25">
      <c r="A23" s="123" t="s">
        <v>318</v>
      </c>
      <c r="B23" s="124" t="s">
        <v>895</v>
      </c>
      <c r="C23" s="124" t="s">
        <v>896</v>
      </c>
      <c r="D23" s="124" t="s">
        <v>897</v>
      </c>
      <c r="E23" s="125" t="s">
        <v>898</v>
      </c>
    </row>
    <row r="24" spans="1:5" customFormat="1" ht="10.5" hidden="1" customHeight="1" x14ac:dyDescent="0.25">
      <c r="A24" s="63" t="s">
        <v>485</v>
      </c>
      <c r="B24" s="310">
        <f>Inputs!B13</f>
        <v>7.6499999999999999E-2</v>
      </c>
      <c r="C24" s="310">
        <f t="shared" ref="C24:C35" si="0">IFERROR(B24/$B$36,0)</f>
        <v>0.24117276166456492</v>
      </c>
      <c r="D24" s="89">
        <f t="shared" ref="D24:D35" si="1">$D$37*C24</f>
        <v>3.4873581336696091</v>
      </c>
      <c r="E24" s="311">
        <f t="shared" ref="E24:E35" si="2">D24*$B$11</f>
        <v>60931.121311475414</v>
      </c>
    </row>
    <row r="25" spans="1:5" customFormat="1" ht="10.5" hidden="1" customHeight="1" x14ac:dyDescent="0.25">
      <c r="A25" s="63" t="s">
        <v>486</v>
      </c>
      <c r="B25" s="310">
        <f>Inputs!B14</f>
        <v>6.0000000000000001E-3</v>
      </c>
      <c r="C25" s="310">
        <f t="shared" si="0"/>
        <v>1.8915510718789406E-2</v>
      </c>
      <c r="D25" s="89">
        <f t="shared" si="1"/>
        <v>0.27351828499369485</v>
      </c>
      <c r="E25" s="311">
        <f t="shared" si="2"/>
        <v>4778.9114754098364</v>
      </c>
    </row>
    <row r="26" spans="1:5" customFormat="1" ht="10.5" hidden="1" customHeight="1" x14ac:dyDescent="0.25">
      <c r="A26" s="63" t="s">
        <v>487</v>
      </c>
      <c r="B26" s="310">
        <f>Inputs!B15</f>
        <v>0.02</v>
      </c>
      <c r="C26" s="310">
        <f t="shared" si="0"/>
        <v>6.3051702395964679E-2</v>
      </c>
      <c r="D26" s="89">
        <f t="shared" si="1"/>
        <v>0.91172761664564927</v>
      </c>
      <c r="E26" s="311">
        <f t="shared" si="2"/>
        <v>15929.704918032785</v>
      </c>
    </row>
    <row r="27" spans="1:5" customFormat="1" ht="10.5" hidden="1" customHeight="1" x14ac:dyDescent="0.25">
      <c r="A27" s="63" t="s">
        <v>488</v>
      </c>
      <c r="B27" s="310">
        <f>Inputs!B16</f>
        <v>1.6E-2</v>
      </c>
      <c r="C27" s="310">
        <f t="shared" si="0"/>
        <v>5.0441361916771746E-2</v>
      </c>
      <c r="D27" s="89">
        <f t="shared" si="1"/>
        <v>0.72938209331651949</v>
      </c>
      <c r="E27" s="311">
        <f t="shared" si="2"/>
        <v>12743.763934426228</v>
      </c>
    </row>
    <row r="28" spans="1:5" customFormat="1" ht="10.5" hidden="1" customHeight="1" x14ac:dyDescent="0.25">
      <c r="A28" s="63" t="s">
        <v>899</v>
      </c>
      <c r="B28" s="310">
        <f>IFERROR(Inputs!B17/$B$4,0)</f>
        <v>0</v>
      </c>
      <c r="C28" s="310">
        <f t="shared" si="0"/>
        <v>0</v>
      </c>
      <c r="D28" s="89">
        <f t="shared" si="1"/>
        <v>0</v>
      </c>
      <c r="E28" s="311">
        <f t="shared" si="2"/>
        <v>0</v>
      </c>
    </row>
    <row r="29" spans="1:5" customFormat="1" ht="10.5" hidden="1" customHeight="1" x14ac:dyDescent="0.25">
      <c r="A29" s="63" t="s">
        <v>490</v>
      </c>
      <c r="B29" s="310">
        <f>Inputs!B18</f>
        <v>0.02</v>
      </c>
      <c r="C29" s="310">
        <f t="shared" si="0"/>
        <v>6.3051702395964679E-2</v>
      </c>
      <c r="D29" s="89">
        <f t="shared" si="1"/>
        <v>0.91172761664564927</v>
      </c>
      <c r="E29" s="311">
        <f t="shared" si="2"/>
        <v>15929.704918032785</v>
      </c>
    </row>
    <row r="30" spans="1:5" customFormat="1" ht="10.5" hidden="1" customHeight="1" x14ac:dyDescent="0.25">
      <c r="A30" s="63" t="s">
        <v>491</v>
      </c>
      <c r="B30" s="88">
        <f>Inputs!B19</f>
        <v>0.04</v>
      </c>
      <c r="C30" s="88">
        <f t="shared" si="0"/>
        <v>0.12610340479192936</v>
      </c>
      <c r="D30" s="88">
        <f t="shared" si="1"/>
        <v>1.8234552332912985</v>
      </c>
      <c r="E30" s="312">
        <f t="shared" si="2"/>
        <v>31859.40983606557</v>
      </c>
    </row>
    <row r="31" spans="1:5" customFormat="1" ht="10.5" hidden="1" customHeight="1" x14ac:dyDescent="0.25">
      <c r="A31" s="63" t="s">
        <v>492</v>
      </c>
      <c r="B31" s="310">
        <f>Inputs!B20</f>
        <v>2.7E-2</v>
      </c>
      <c r="C31" s="310">
        <f t="shared" si="0"/>
        <v>8.5119798234552319E-2</v>
      </c>
      <c r="D31" s="89">
        <f t="shared" si="1"/>
        <v>1.2308322824716267</v>
      </c>
      <c r="E31" s="311">
        <f t="shared" si="2"/>
        <v>21505.101639344262</v>
      </c>
    </row>
    <row r="32" spans="1:5" customFormat="1" ht="10.5" hidden="1" customHeight="1" x14ac:dyDescent="0.25">
      <c r="A32" s="63" t="s">
        <v>496</v>
      </c>
      <c r="B32" s="310">
        <f>Inputs!B23</f>
        <v>0</v>
      </c>
      <c r="C32" s="310">
        <f t="shared" si="0"/>
        <v>0</v>
      </c>
      <c r="D32" s="89">
        <f t="shared" si="1"/>
        <v>0</v>
      </c>
      <c r="E32" s="311">
        <f t="shared" si="2"/>
        <v>0</v>
      </c>
    </row>
    <row r="33" spans="1:5" customFormat="1" ht="10.5" hidden="1" customHeight="1" x14ac:dyDescent="0.25">
      <c r="A33" s="63" t="s">
        <v>497</v>
      </c>
      <c r="B33" s="310">
        <f>Inputs!B24</f>
        <v>1.4999999999999999E-2</v>
      </c>
      <c r="C33" s="310">
        <f t="shared" si="0"/>
        <v>4.7288776796973513E-2</v>
      </c>
      <c r="D33" s="89">
        <f t="shared" si="1"/>
        <v>0.68379571248423698</v>
      </c>
      <c r="E33" s="311">
        <f t="shared" si="2"/>
        <v>11947.278688524588</v>
      </c>
    </row>
    <row r="34" spans="1:5" customFormat="1" ht="10.5" hidden="1" customHeight="1" x14ac:dyDescent="0.25">
      <c r="A34" s="63" t="s">
        <v>508</v>
      </c>
      <c r="B34" s="310">
        <f>Inputs!B35</f>
        <v>0</v>
      </c>
      <c r="C34" s="310">
        <f t="shared" si="0"/>
        <v>0</v>
      </c>
      <c r="D34" s="89">
        <f t="shared" si="1"/>
        <v>0</v>
      </c>
      <c r="E34" s="311">
        <f t="shared" si="2"/>
        <v>0</v>
      </c>
    </row>
    <row r="35" spans="1:5" customFormat="1" ht="10.5" hidden="1" customHeight="1" x14ac:dyDescent="0.25">
      <c r="A35" s="63" t="s">
        <v>900</v>
      </c>
      <c r="B35" s="310">
        <f>Inputs!B31+Inputs!B32</f>
        <v>9.6700000000000008E-2</v>
      </c>
      <c r="C35" s="310">
        <f t="shared" si="0"/>
        <v>0.30485498108448927</v>
      </c>
      <c r="D35" s="89">
        <f t="shared" si="1"/>
        <v>4.4082030264817149</v>
      </c>
      <c r="E35" s="311">
        <f t="shared" si="2"/>
        <v>77020.123278688523</v>
      </c>
    </row>
    <row r="36" spans="1:5" customFormat="1" ht="14.25" hidden="1" customHeight="1" x14ac:dyDescent="0.3">
      <c r="A36" s="313" t="s">
        <v>901</v>
      </c>
      <c r="B36" s="314">
        <f>SUM(B24:B35)</f>
        <v>0.31720000000000004</v>
      </c>
      <c r="C36" s="315"/>
      <c r="D36" s="316"/>
      <c r="E36" s="316"/>
    </row>
    <row r="37" spans="1:5" customFormat="1" ht="14.25" hidden="1" customHeight="1" x14ac:dyDescent="0.3">
      <c r="A37" s="165" t="s">
        <v>902</v>
      </c>
      <c r="B37" s="317"/>
      <c r="C37" s="318"/>
      <c r="D37" s="141">
        <f>B5-B4</f>
        <v>14.46</v>
      </c>
      <c r="E37" s="319">
        <f>D37*$B$11</f>
        <v>252645.12000000002</v>
      </c>
    </row>
    <row r="38" spans="1:5" customFormat="1" ht="14.25" hidden="1" customHeight="1" x14ac:dyDescent="0.3">
      <c r="A38" s="143" t="s">
        <v>903</v>
      </c>
      <c r="B38" s="317"/>
      <c r="C38" s="318"/>
      <c r="D38" s="89">
        <f>SUM(D24:D35)</f>
        <v>14.459999999999999</v>
      </c>
      <c r="E38" s="311">
        <f>SUM(E24:E35)</f>
        <v>252645.12</v>
      </c>
    </row>
    <row r="39" spans="1:5" customFormat="1" ht="14.25" hidden="1" customHeight="1" x14ac:dyDescent="0.3">
      <c r="A39" s="143" t="s">
        <v>904</v>
      </c>
      <c r="B39" s="317"/>
      <c r="C39" s="318"/>
      <c r="D39" s="89">
        <f>D37-D38</f>
        <v>0</v>
      </c>
      <c r="E39" s="311">
        <f>E37-E38</f>
        <v>0</v>
      </c>
    </row>
    <row r="40" spans="1:5" customFormat="1" ht="61.5" hidden="1" customHeight="1" x14ac:dyDescent="0.25">
      <c r="A40" s="85" t="s">
        <v>905</v>
      </c>
      <c r="B40" s="85" t="s">
        <v>906</v>
      </c>
    </row>
  </sheetData>
  <mergeCells count="4">
    <mergeCell ref="A1:E1"/>
    <mergeCell ref="A2:E2"/>
    <mergeCell ref="A3:D3"/>
    <mergeCell ref="A14:D14"/>
  </mergeCells>
  <pageMargins left="0.7" right="0.7" top="0.75" bottom="0.75" header="0.511811023622047" footer="0.511811023622047"/>
  <pageSetup paperSize="9" orientation="portrait" horizontalDpi="300" verticalDpi="300"/>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215968"/>
  </sheetPr>
  <dimension ref="A1:J9"/>
  <sheetViews>
    <sheetView zoomScaleNormal="100" workbookViewId="0"/>
  </sheetViews>
  <sheetFormatPr defaultColWidth="8.6640625" defaultRowHeight="14.25" customHeight="1" x14ac:dyDescent="0.3"/>
  <cols>
    <col min="1" max="1" width="34" style="57" customWidth="1"/>
    <col min="2" max="2" width="18" style="57" hidden="1" customWidth="1"/>
    <col min="3" max="3" width="14" style="57" customWidth="1"/>
    <col min="4" max="4" width="16" style="57" customWidth="1"/>
    <col min="5" max="5" width="35.21875" style="57" customWidth="1"/>
    <col min="6" max="6" width="14" style="57" customWidth="1"/>
    <col min="7" max="9" width="18" style="57" customWidth="1"/>
    <col min="10" max="10" width="13" style="57" customWidth="1"/>
  </cols>
  <sheetData>
    <row r="1" spans="1:5" customFormat="1" ht="14.25" customHeight="1" x14ac:dyDescent="0.25">
      <c r="A1" s="360" t="s">
        <v>907</v>
      </c>
      <c r="B1" s="360"/>
      <c r="C1" s="360"/>
      <c r="D1" s="360"/>
      <c r="E1" s="360"/>
    </row>
    <row r="2" spans="1:5" customFormat="1" ht="10.5" customHeight="1" x14ac:dyDescent="0.25">
      <c r="A2" s="361" t="s">
        <v>132</v>
      </c>
      <c r="B2" s="361"/>
      <c r="C2" s="361"/>
      <c r="D2" s="361"/>
      <c r="E2" s="361"/>
    </row>
    <row r="3" spans="1:5" customFormat="1" ht="10.5" customHeight="1" x14ac:dyDescent="0.25">
      <c r="A3" s="123" t="s">
        <v>318</v>
      </c>
      <c r="B3" s="124" t="s">
        <v>319</v>
      </c>
      <c r="C3" s="124" t="s">
        <v>387</v>
      </c>
      <c r="D3" s="124" t="s">
        <v>388</v>
      </c>
      <c r="E3" s="146"/>
    </row>
    <row r="4" spans="1:5" customFormat="1" ht="10.5" customHeight="1" x14ac:dyDescent="0.25">
      <c r="A4" s="63" t="s">
        <v>508</v>
      </c>
      <c r="B4" s="192">
        <f>Direct_Labor!$C$11*Inputs!B35</f>
        <v>0</v>
      </c>
      <c r="C4" s="153">
        <f>B4</f>
        <v>0</v>
      </c>
      <c r="D4" s="153">
        <f>C4*_Calc_Backend!$X$37</f>
        <v>0</v>
      </c>
    </row>
    <row r="5" spans="1:5" customFormat="1" ht="10.5" customHeight="1" x14ac:dyDescent="0.25">
      <c r="A5" s="63" t="s">
        <v>509</v>
      </c>
      <c r="B5" s="192">
        <f>Direct_Labor!$C$11*Inputs!B36</f>
        <v>0</v>
      </c>
      <c r="C5" s="153">
        <f>B5</f>
        <v>0</v>
      </c>
      <c r="D5" s="153">
        <f>C5*_Calc_Backend!$X$37</f>
        <v>0</v>
      </c>
    </row>
    <row r="6" spans="1:5" customFormat="1" ht="10.5" customHeight="1" x14ac:dyDescent="0.25">
      <c r="A6" s="63" t="s">
        <v>510</v>
      </c>
      <c r="B6" s="89">
        <f>Direct_Labor!$C$11*Inputs!B37</f>
        <v>4.1929800000000004</v>
      </c>
      <c r="C6" s="89">
        <f>B6</f>
        <v>4.1929800000000004</v>
      </c>
      <c r="D6" s="89">
        <f>C6*_Calc_Backend!$X$37</f>
        <v>73259.74656</v>
      </c>
    </row>
    <row r="7" spans="1:5" customFormat="1" ht="10.5" customHeight="1" x14ac:dyDescent="0.25">
      <c r="A7" s="63" t="s">
        <v>511</v>
      </c>
      <c r="B7" s="192">
        <f>Direct_Labor!$C$11*Inputs!B38</f>
        <v>3.354384</v>
      </c>
      <c r="C7" s="89">
        <f>B7</f>
        <v>3.354384</v>
      </c>
      <c r="D7" s="89">
        <f>C7*_Calc_Backend!$X$37</f>
        <v>58607.797248000003</v>
      </c>
    </row>
    <row r="8" spans="1:5" customFormat="1" ht="10.5" customHeight="1" x14ac:dyDescent="0.25">
      <c r="A8" s="63" t="s">
        <v>512</v>
      </c>
      <c r="B8" s="192">
        <f>IFERROR((Appraisal_Full_Scope_Report!H19*Inputs!B39)/Appraisal_Full_Scope_Report!F15,0)</f>
        <v>19.106529334199998</v>
      </c>
      <c r="C8" s="89">
        <f>B8</f>
        <v>19.106529334199998</v>
      </c>
      <c r="D8" s="89">
        <f>C8*_Calc_Backend!$X$37</f>
        <v>333829.28052714234</v>
      </c>
    </row>
    <row r="9" spans="1:5" customFormat="1" ht="14.25" customHeight="1" x14ac:dyDescent="0.3">
      <c r="A9" s="140" t="s">
        <v>513</v>
      </c>
      <c r="B9" s="72"/>
      <c r="C9" s="141">
        <f>SUM(C4:C8)</f>
        <v>26.653893334199999</v>
      </c>
      <c r="D9" s="141">
        <f>SUM(D4:D8)</f>
        <v>465696.82433514233</v>
      </c>
    </row>
  </sheetData>
  <mergeCells count="2">
    <mergeCell ref="A1:E1"/>
    <mergeCell ref="A2:E2"/>
  </mergeCells>
  <pageMargins left="0.7" right="0.7" top="0.75" bottom="0.75" header="0.511811023622047" footer="0.511811023622047"/>
  <pageSetup paperSize="9" orientation="portrait" horizontalDpi="300" verticalDpi="300"/>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B3A2C7"/>
  </sheetPr>
  <dimension ref="A1:J30"/>
  <sheetViews>
    <sheetView tabSelected="1" zoomScaleNormal="100" workbookViewId="0">
      <selection activeCell="H41" sqref="H41"/>
    </sheetView>
  </sheetViews>
  <sheetFormatPr defaultColWidth="8.6640625" defaultRowHeight="14.25" customHeight="1" x14ac:dyDescent="0.3"/>
  <cols>
    <col min="1" max="1" width="42.88671875" style="57" customWidth="1"/>
    <col min="2" max="2" width="18" style="57" customWidth="1"/>
    <col min="3" max="3" width="14" style="57" customWidth="1"/>
    <col min="4" max="4" width="22" style="57" bestFit="1" customWidth="1"/>
    <col min="5" max="5" width="24" style="57" hidden="1" customWidth="1"/>
    <col min="6" max="6" width="14" style="57" customWidth="1"/>
    <col min="7" max="9" width="18" style="57" customWidth="1"/>
    <col min="10" max="10" width="13" style="57" customWidth="1"/>
  </cols>
  <sheetData>
    <row r="1" spans="1:5" customFormat="1" ht="14.25" customHeight="1" x14ac:dyDescent="0.25">
      <c r="A1" s="360" t="s">
        <v>908</v>
      </c>
      <c r="B1" s="360"/>
      <c r="C1" s="360"/>
      <c r="D1" s="360"/>
      <c r="E1" s="360"/>
    </row>
    <row r="2" spans="1:5" customFormat="1" ht="10.5" customHeight="1" x14ac:dyDescent="0.25">
      <c r="A2" s="361" t="s">
        <v>132</v>
      </c>
      <c r="B2" s="361"/>
      <c r="C2" s="361"/>
      <c r="D2" s="361"/>
      <c r="E2" s="361"/>
    </row>
    <row r="3" spans="1:5" customFormat="1" ht="15.75" customHeight="1" x14ac:dyDescent="0.25">
      <c r="A3" s="58" t="s">
        <v>909</v>
      </c>
      <c r="B3" s="59"/>
      <c r="C3" s="59"/>
      <c r="D3" s="59"/>
      <c r="E3" s="59"/>
    </row>
    <row r="4" spans="1:5" customFormat="1" ht="10.5" customHeight="1" x14ac:dyDescent="0.25">
      <c r="A4" s="320" t="s">
        <v>75</v>
      </c>
      <c r="B4" s="189" t="s">
        <v>688</v>
      </c>
      <c r="C4" s="189" t="s">
        <v>77</v>
      </c>
      <c r="D4" s="189" t="s">
        <v>1011</v>
      </c>
      <c r="E4" s="321" t="s">
        <v>79</v>
      </c>
    </row>
    <row r="5" spans="1:5" customFormat="1" ht="10.5" customHeight="1" x14ac:dyDescent="0.25">
      <c r="A5" s="63" t="s">
        <v>9</v>
      </c>
      <c r="B5" s="88">
        <f>Appraisal_Full_Scope_Report!$F$15</f>
        <v>17472</v>
      </c>
      <c r="C5" s="88">
        <f>Appraisal_Full_Scope_Report!$F$15</f>
        <v>17472</v>
      </c>
      <c r="D5" s="88">
        <f>Appraisal_Full_Scope_Report!$F$15</f>
        <v>17472</v>
      </c>
      <c r="E5" s="312">
        <f>Appraisal_Full_Scope_Report!$F$15</f>
        <v>17472</v>
      </c>
    </row>
    <row r="6" spans="1:5" customFormat="1" ht="10.5" customHeight="1" x14ac:dyDescent="0.25">
      <c r="A6" s="63" t="s">
        <v>56</v>
      </c>
      <c r="B6" s="88">
        <f>_Calc_Backend!$X$38</f>
        <v>12</v>
      </c>
      <c r="C6" s="88">
        <f>_Calc_Backend!$X$38</f>
        <v>12</v>
      </c>
      <c r="D6" s="88">
        <f>_Calc_Backend!$X$38</f>
        <v>12</v>
      </c>
      <c r="E6" s="312">
        <f>_Calc_Backend!$X$38</f>
        <v>12</v>
      </c>
    </row>
    <row r="7" spans="1:5" customFormat="1" ht="10.5" customHeight="1" x14ac:dyDescent="0.25">
      <c r="A7" s="63" t="s">
        <v>689</v>
      </c>
      <c r="B7" s="155">
        <f>Appraisal_Full_Scope_Report!$F$8</f>
        <v>129.97639002857142</v>
      </c>
      <c r="C7" s="152">
        <f>Appraisal_Full_Scope_Report!$H$8</f>
        <v>90.983473019999991</v>
      </c>
      <c r="D7" s="152">
        <f>Vendor_Pricing!$B$7</f>
        <v>77.335952066999994</v>
      </c>
      <c r="E7" s="322">
        <f>Vendor_Pricing!B6</f>
        <v>63.688431113999989</v>
      </c>
    </row>
    <row r="8" spans="1:5" customFormat="1" ht="10.5" customHeight="1" x14ac:dyDescent="0.25">
      <c r="A8" s="63" t="s">
        <v>81</v>
      </c>
      <c r="B8" s="155">
        <f>Appraisal_Full_Scope_Report!$F$19</f>
        <v>2270947.4865791998</v>
      </c>
      <c r="C8" s="152">
        <f>Appraisal_Full_Scope_Report!$H$19</f>
        <v>1589663.2406054398</v>
      </c>
      <c r="D8" s="152">
        <f>D5*D7</f>
        <v>1351213.7545146239</v>
      </c>
      <c r="E8" s="322">
        <f>E5*E7</f>
        <v>1112764.2684238078</v>
      </c>
    </row>
    <row r="9" spans="1:5" customFormat="1" ht="10.5" customHeight="1" x14ac:dyDescent="0.25">
      <c r="A9" s="63" t="s">
        <v>82</v>
      </c>
      <c r="B9" s="323" t="s">
        <v>910</v>
      </c>
      <c r="C9" s="152">
        <f>B7-C7</f>
        <v>38.992917008571425</v>
      </c>
      <c r="D9" s="152">
        <f>B7-D7</f>
        <v>52.640437961571422</v>
      </c>
      <c r="E9" s="322">
        <f>B7-E7</f>
        <v>66.287958914571419</v>
      </c>
    </row>
    <row r="10" spans="1:5" customFormat="1" ht="10.5" customHeight="1" x14ac:dyDescent="0.25">
      <c r="A10" s="140" t="s">
        <v>679</v>
      </c>
      <c r="B10" s="324" t="s">
        <v>910</v>
      </c>
      <c r="C10" s="325">
        <f>B8-C8</f>
        <v>681284.24597376003</v>
      </c>
      <c r="D10" s="325">
        <f>B8-D8</f>
        <v>919733.73206457589</v>
      </c>
      <c r="E10" s="326">
        <f>B8-E8</f>
        <v>1158183.218155392</v>
      </c>
    </row>
    <row r="11" spans="1:5" customFormat="1" ht="10.5" customHeight="1" x14ac:dyDescent="0.25">
      <c r="A11" s="63" t="s">
        <v>84</v>
      </c>
      <c r="B11" s="327" t="s">
        <v>910</v>
      </c>
      <c r="C11" s="328">
        <f>IFERROR((B8-C8)/B8,0)</f>
        <v>0.30000000000000004</v>
      </c>
      <c r="D11" s="328">
        <f>IFERROR((B8-D8)/B8,0)</f>
        <v>0.40499999999999997</v>
      </c>
      <c r="E11" s="329">
        <f>IFERROR((B8-E8)/B8,0)</f>
        <v>0.51</v>
      </c>
    </row>
    <row r="12" spans="1:5" customFormat="1" ht="10.5" customHeight="1" x14ac:dyDescent="0.25"/>
    <row r="13" spans="1:5" customFormat="1" ht="15.75" customHeight="1" x14ac:dyDescent="0.25">
      <c r="A13" s="58" t="s">
        <v>911</v>
      </c>
      <c r="B13" s="59"/>
      <c r="C13" s="59"/>
      <c r="D13" s="59"/>
      <c r="E13" s="59"/>
    </row>
    <row r="14" spans="1:5" customFormat="1" ht="10.5" customHeight="1" x14ac:dyDescent="0.25">
      <c r="A14" s="123" t="s">
        <v>912</v>
      </c>
      <c r="B14" s="124" t="s">
        <v>913</v>
      </c>
      <c r="C14" s="146"/>
      <c r="D14" s="146"/>
      <c r="E14" s="146"/>
    </row>
    <row r="15" spans="1:5" customFormat="1" ht="10.5" customHeight="1" x14ac:dyDescent="0.25">
      <c r="A15" s="63" t="s">
        <v>914</v>
      </c>
      <c r="B15" s="89">
        <f>Appraisal_Full_Scope_Report!$F$8</f>
        <v>129.97639002857142</v>
      </c>
    </row>
    <row r="16" spans="1:5" customFormat="1" ht="10.5" customHeight="1" x14ac:dyDescent="0.25">
      <c r="A16" s="140" t="s">
        <v>673</v>
      </c>
      <c r="B16" s="141">
        <f>Appraisal_Full_Scope_Report!$H$8</f>
        <v>90.983473019999991</v>
      </c>
    </row>
    <row r="17" spans="1:5" customFormat="1" ht="10.5" customHeight="1" x14ac:dyDescent="0.25">
      <c r="A17" s="63" t="s">
        <v>676</v>
      </c>
      <c r="B17" s="89">
        <f>Appraisal_Full_Scope_Report!$J$8</f>
        <v>38.992917008571425</v>
      </c>
    </row>
    <row r="18" spans="1:5" customFormat="1" ht="10.5" customHeight="1" x14ac:dyDescent="0.25">
      <c r="A18" s="140" t="s">
        <v>679</v>
      </c>
      <c r="B18" s="141">
        <f>Appraisal_Full_Scope_Report!$H$20</f>
        <v>681284.24597376003</v>
      </c>
    </row>
    <row r="19" spans="1:5" customFormat="1" ht="10.5" customHeight="1" x14ac:dyDescent="0.25">
      <c r="A19" s="63" t="s">
        <v>915</v>
      </c>
      <c r="B19" s="310">
        <f>IFERROR(B18/B8,0)</f>
        <v>0.30000000000000004</v>
      </c>
    </row>
    <row r="20" spans="1:5" customFormat="1" ht="10.5" customHeight="1" x14ac:dyDescent="0.25"/>
    <row r="21" spans="1:5" customFormat="1" ht="15.75" hidden="1" customHeight="1" x14ac:dyDescent="0.25">
      <c r="A21" s="58" t="s">
        <v>916</v>
      </c>
      <c r="B21" s="59"/>
      <c r="C21" s="59"/>
      <c r="D21" s="59"/>
      <c r="E21" s="59"/>
    </row>
    <row r="22" spans="1:5" customFormat="1" ht="10.5" hidden="1" customHeight="1" x14ac:dyDescent="0.25">
      <c r="A22" s="63" t="s">
        <v>691</v>
      </c>
      <c r="B22" s="89">
        <f>Appraisal_Full_Scope_Report!$F$19</f>
        <v>2270947.4865791998</v>
      </c>
    </row>
    <row r="23" spans="1:5" customFormat="1" ht="10.5" hidden="1" customHeight="1" x14ac:dyDescent="0.25">
      <c r="A23" s="63" t="s">
        <v>692</v>
      </c>
      <c r="B23" s="89">
        <f>Appraisal_Full_Scope_Report!$H$19</f>
        <v>1589663.2406054398</v>
      </c>
    </row>
    <row r="24" spans="1:5" customFormat="1" ht="10.5" hidden="1" customHeight="1" x14ac:dyDescent="0.25">
      <c r="A24" s="63" t="s">
        <v>693</v>
      </c>
      <c r="B24" s="89">
        <f>Vendor_Pricing!$B$7*_Calc_Backend!$X$33</f>
        <v>298912.73505320301</v>
      </c>
    </row>
    <row r="25" spans="1:5" customFormat="1" ht="10.5" hidden="1" customHeight="1" x14ac:dyDescent="0.25">
      <c r="A25" s="63" t="s">
        <v>694</v>
      </c>
      <c r="B25" s="89">
        <f>Vendor_Pricing!$B$6*_Calc_Backend!$X$33</f>
        <v>246163.42886734364</v>
      </c>
    </row>
    <row r="26" spans="1:5" customFormat="1" ht="10.5" hidden="1" customHeight="1" x14ac:dyDescent="0.25">
      <c r="A26" s="63" t="s">
        <v>695</v>
      </c>
      <c r="B26" s="89">
        <f>B22-B25</f>
        <v>2024784.0577118562</v>
      </c>
    </row>
    <row r="27" spans="1:5" customFormat="1" ht="10.5" customHeight="1" x14ac:dyDescent="0.25"/>
    <row r="28" spans="1:5" customFormat="1" ht="10.5" customHeight="1" x14ac:dyDescent="0.25"/>
    <row r="29" spans="1:5" customFormat="1" ht="6" customHeight="1" x14ac:dyDescent="0.25">
      <c r="A29" s="362" t="s">
        <v>917</v>
      </c>
      <c r="B29" s="362"/>
      <c r="C29" s="362"/>
      <c r="D29" s="362"/>
      <c r="E29" s="362"/>
    </row>
    <row r="30" spans="1:5" customFormat="1" ht="6" customHeight="1" x14ac:dyDescent="0.25">
      <c r="A30" s="362"/>
      <c r="B30" s="362"/>
      <c r="C30" s="362"/>
      <c r="D30" s="362"/>
      <c r="E30" s="362"/>
    </row>
  </sheetData>
  <mergeCells count="3">
    <mergeCell ref="A1:E1"/>
    <mergeCell ref="A2:E2"/>
    <mergeCell ref="A29:E30"/>
  </mergeCells>
  <pageMargins left="0.7" right="0.7" top="0.75" bottom="0.75" header="0.511811023622047" footer="0.511811023622047"/>
  <pageSetup paperSize="9" orientation="portrait" horizontalDpi="300" verticalDpi="300"/>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G18"/>
  <sheetViews>
    <sheetView zoomScaleNormal="100" workbookViewId="0"/>
  </sheetViews>
  <sheetFormatPr defaultColWidth="8.6640625" defaultRowHeight="12.75" customHeight="1" x14ac:dyDescent="0.25"/>
  <cols>
    <col min="1" max="1" width="46.33203125" customWidth="1"/>
    <col min="2" max="2" width="18" customWidth="1"/>
    <col min="4" max="4" width="56.21875" customWidth="1"/>
  </cols>
  <sheetData>
    <row r="1" spans="1:7" ht="17.25" customHeight="1" x14ac:dyDescent="0.25">
      <c r="A1" s="409" t="s">
        <v>918</v>
      </c>
      <c r="B1" s="409"/>
      <c r="C1" s="409"/>
      <c r="D1" s="409"/>
      <c r="E1" s="409"/>
      <c r="F1" s="409"/>
      <c r="G1" s="409"/>
    </row>
    <row r="2" spans="1:7" ht="12.75" customHeight="1" x14ac:dyDescent="0.25">
      <c r="A2" s="410" t="s">
        <v>919</v>
      </c>
      <c r="B2" s="410"/>
      <c r="C2" s="410"/>
      <c r="D2" s="410"/>
      <c r="E2" s="410"/>
      <c r="F2" s="410"/>
      <c r="G2" s="410"/>
    </row>
    <row r="3" spans="1:7" ht="12.75" customHeight="1" x14ac:dyDescent="0.25">
      <c r="A3" s="268"/>
      <c r="B3" s="268"/>
      <c r="C3" s="268"/>
      <c r="D3" s="268"/>
      <c r="E3" s="268"/>
      <c r="F3" s="268"/>
      <c r="G3" s="268"/>
    </row>
    <row r="4" spans="1:7" ht="12.75" customHeight="1" x14ac:dyDescent="0.25">
      <c r="A4" s="281" t="s">
        <v>920</v>
      </c>
      <c r="B4" s="284">
        <f>IFERROR(_Calc_Backend!$X$33/_Calc_Backend!$X$29,0)</f>
        <v>416.5</v>
      </c>
      <c r="C4" s="280"/>
      <c r="D4" s="278" t="s">
        <v>848</v>
      </c>
      <c r="E4" s="268"/>
      <c r="F4" s="268"/>
      <c r="G4" s="268"/>
    </row>
    <row r="5" spans="1:7" ht="12.75" customHeight="1" x14ac:dyDescent="0.25">
      <c r="A5" s="281" t="s">
        <v>9</v>
      </c>
      <c r="B5" s="284">
        <f>_Calc_Backend!$X$33</f>
        <v>3865.12</v>
      </c>
      <c r="C5" s="280"/>
      <c r="D5" s="280" t="s">
        <v>921</v>
      </c>
      <c r="E5" s="268"/>
      <c r="F5" s="268"/>
      <c r="G5" s="268"/>
    </row>
    <row r="6" spans="1:7" ht="12.75" customHeight="1" x14ac:dyDescent="0.25">
      <c r="A6" s="281" t="s">
        <v>922</v>
      </c>
      <c r="B6" s="330">
        <f>2080</f>
        <v>2080</v>
      </c>
      <c r="C6" s="280"/>
      <c r="D6" s="280" t="s">
        <v>923</v>
      </c>
      <c r="E6" s="268"/>
      <c r="F6" s="268"/>
      <c r="G6" s="268"/>
    </row>
    <row r="7" spans="1:7" ht="12.75" customHeight="1" x14ac:dyDescent="0.25">
      <c r="A7" s="281" t="s">
        <v>924</v>
      </c>
      <c r="B7" s="283">
        <f>Inputs!B44/B6</f>
        <v>1.8</v>
      </c>
      <c r="C7" s="280"/>
      <c r="D7" s="280" t="s">
        <v>925</v>
      </c>
      <c r="E7" s="268"/>
      <c r="F7" s="268"/>
      <c r="G7" s="268"/>
    </row>
    <row r="8" spans="1:7" ht="26.25" customHeight="1" x14ac:dyDescent="0.25">
      <c r="A8" s="281" t="s">
        <v>926</v>
      </c>
      <c r="B8" s="284">
        <f>IFERROR(B5/B6,0)</f>
        <v>1.8582307692307691</v>
      </c>
      <c r="C8" s="280"/>
      <c r="D8" s="280" t="s">
        <v>927</v>
      </c>
      <c r="E8" s="268"/>
      <c r="F8" s="268"/>
      <c r="G8" s="268"/>
    </row>
    <row r="9" spans="1:7" ht="12.75" customHeight="1" x14ac:dyDescent="0.25">
      <c r="A9" s="281" t="s">
        <v>928</v>
      </c>
      <c r="B9" s="284">
        <f>B8*B7</f>
        <v>3.3448153846153845</v>
      </c>
      <c r="C9" s="280"/>
      <c r="D9" s="280" t="s">
        <v>929</v>
      </c>
      <c r="E9" s="268"/>
      <c r="F9" s="268"/>
      <c r="G9" s="268"/>
    </row>
    <row r="10" spans="1:7" ht="12.75" customHeight="1" x14ac:dyDescent="0.25">
      <c r="A10" s="281" t="s">
        <v>174</v>
      </c>
      <c r="B10" s="284">
        <f>Inputs!B44</f>
        <v>3744</v>
      </c>
      <c r="C10" s="280"/>
      <c r="D10" s="280" t="s">
        <v>930</v>
      </c>
      <c r="E10" s="268"/>
      <c r="F10" s="268"/>
      <c r="G10" s="268"/>
    </row>
    <row r="11" spans="1:7" ht="12.75" customHeight="1" x14ac:dyDescent="0.25">
      <c r="A11" s="281" t="s">
        <v>931</v>
      </c>
      <c r="B11" s="284">
        <f>B10-B6</f>
        <v>1664</v>
      </c>
      <c r="C11" s="280"/>
      <c r="D11" s="280" t="s">
        <v>932</v>
      </c>
      <c r="E11" s="268"/>
      <c r="F11" s="268"/>
      <c r="G11" s="268"/>
    </row>
    <row r="12" spans="1:7" ht="12.75" customHeight="1" x14ac:dyDescent="0.25">
      <c r="A12" s="281" t="s">
        <v>933</v>
      </c>
      <c r="B12" s="284">
        <f>B9*B11</f>
        <v>5565.7727999999997</v>
      </c>
      <c r="C12" s="280"/>
      <c r="D12" s="280" t="s">
        <v>934</v>
      </c>
      <c r="E12" s="268"/>
      <c r="F12" s="268"/>
      <c r="G12" s="268"/>
    </row>
    <row r="13" spans="1:7" ht="12.75" customHeight="1" x14ac:dyDescent="0.25">
      <c r="A13" s="281" t="s">
        <v>212</v>
      </c>
      <c r="B13" s="282">
        <f>IF(_Calc_Backend!U5&gt;0,_Calc_Backend!U14,Direct_Labor!C11)</f>
        <v>33.74</v>
      </c>
      <c r="C13" s="280"/>
      <c r="D13" s="280" t="s">
        <v>935</v>
      </c>
      <c r="E13" s="268"/>
      <c r="F13" s="268"/>
      <c r="G13" s="268"/>
    </row>
    <row r="14" spans="1:7" ht="12.75" customHeight="1" x14ac:dyDescent="0.25">
      <c r="A14" s="281" t="s">
        <v>936</v>
      </c>
      <c r="B14" s="282">
        <f>B12*B13</f>
        <v>187789.174272</v>
      </c>
      <c r="C14" s="280"/>
      <c r="D14" s="280" t="s">
        <v>937</v>
      </c>
      <c r="E14" s="268"/>
      <c r="F14" s="268"/>
      <c r="G14" s="268"/>
    </row>
    <row r="15" spans="1:7" ht="12.75" customHeight="1" x14ac:dyDescent="0.25">
      <c r="A15" s="281" t="s">
        <v>938</v>
      </c>
      <c r="B15" s="282">
        <f>Training_Module!J9</f>
        <v>38720.000000000007</v>
      </c>
      <c r="C15" s="280"/>
      <c r="D15" s="280" t="s">
        <v>939</v>
      </c>
      <c r="E15" s="268"/>
      <c r="F15" s="268"/>
      <c r="G15" s="268"/>
    </row>
    <row r="16" spans="1:7" ht="12.75" customHeight="1" x14ac:dyDescent="0.25">
      <c r="A16" s="281" t="s">
        <v>816</v>
      </c>
      <c r="B16" s="282">
        <f>Equipment_Uniform_Module!E7</f>
        <v>1447.5</v>
      </c>
      <c r="C16" s="280"/>
      <c r="D16" s="280"/>
      <c r="E16" s="268"/>
      <c r="F16" s="268"/>
      <c r="G16" s="268"/>
    </row>
    <row r="17" spans="1:7" ht="12.75" customHeight="1" x14ac:dyDescent="0.25">
      <c r="A17" s="281" t="s">
        <v>814</v>
      </c>
      <c r="B17" s="282">
        <f>Workforce_Maintenance_Module!E7</f>
        <v>15029.440000000002</v>
      </c>
      <c r="C17" s="280"/>
      <c r="D17" s="280"/>
      <c r="E17" s="268"/>
      <c r="F17" s="268"/>
      <c r="G17" s="268"/>
    </row>
    <row r="18" spans="1:7" ht="12.75" customHeight="1" x14ac:dyDescent="0.25">
      <c r="A18" s="281" t="s">
        <v>940</v>
      </c>
      <c r="B18" s="282">
        <f>SUM(B14:B17)</f>
        <v>242986.11427200001</v>
      </c>
      <c r="C18" s="280"/>
      <c r="D18" s="280"/>
      <c r="E18" s="268"/>
      <c r="F18" s="268"/>
      <c r="G18" s="268"/>
    </row>
  </sheetData>
  <mergeCells count="2">
    <mergeCell ref="A1:G1"/>
    <mergeCell ref="A2:G2"/>
  </mergeCells>
  <pageMargins left="0.7" right="0.7" top="0.75" bottom="0.75" header="0.511811023622047" footer="0.511811023622047"/>
  <pageSetup paperSize="9"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N59"/>
  <sheetViews>
    <sheetView zoomScaleNormal="100" workbookViewId="0"/>
  </sheetViews>
  <sheetFormatPr defaultColWidth="8.6640625" defaultRowHeight="14.25" customHeight="1" x14ac:dyDescent="0.3"/>
  <cols>
    <col min="1" max="1" width="4" style="57" customWidth="1"/>
    <col min="2" max="2" width="30" style="57" customWidth="1"/>
    <col min="3" max="3" width="18" style="57" customWidth="1"/>
    <col min="4" max="4" width="4" style="57" customWidth="1"/>
    <col min="5" max="8" width="16" style="57" customWidth="1"/>
    <col min="10" max="14" width="13" style="57" hidden="1" customWidth="1"/>
  </cols>
  <sheetData>
    <row r="1" spans="2:10" customFormat="1" ht="16.5" customHeight="1" x14ac:dyDescent="0.25">
      <c r="B1" s="389" t="s">
        <v>715</v>
      </c>
      <c r="C1" s="389"/>
      <c r="D1" s="389"/>
      <c r="E1" s="389"/>
      <c r="F1" s="389"/>
      <c r="G1" s="389"/>
      <c r="H1" s="389"/>
    </row>
    <row r="2" spans="2:10" customFormat="1" ht="8.25" customHeight="1" x14ac:dyDescent="0.3">
      <c r="B2" s="390" t="s">
        <v>941</v>
      </c>
      <c r="C2" s="390"/>
      <c r="D2" s="390"/>
      <c r="E2" s="390"/>
      <c r="F2" s="390"/>
      <c r="G2" s="390"/>
      <c r="H2" s="390"/>
      <c r="J2" s="257">
        <f>IF(IFERROR(_Calc_Backend!$U$5,0)&gt;0,_Calc_Backend!$U$5,_Calc_Backend!$X$36)</f>
        <v>336</v>
      </c>
    </row>
    <row r="3" spans="2:10" customFormat="1" ht="15.75" customHeight="1" x14ac:dyDescent="0.3">
      <c r="B3" s="391" t="s">
        <v>717</v>
      </c>
      <c r="C3" s="391"/>
      <c r="D3" s="391"/>
      <c r="E3" s="391"/>
      <c r="F3" s="391"/>
      <c r="G3" s="391"/>
      <c r="H3" s="391"/>
      <c r="J3" s="258">
        <f>IF(IFERROR(_Calc_Backend!$U$5,0)&gt;0,_Calc_Backend!$U$15,Vendor_Pricing!B7)</f>
        <v>64.785000000000011</v>
      </c>
    </row>
    <row r="4" spans="2:10" customFormat="1" ht="13.5" customHeight="1" x14ac:dyDescent="0.3">
      <c r="J4" s="258">
        <f>IF(IFERROR(_Calc_Backend!$U$5,0)&gt;0,_Calc_Backend!$U$14,Direct_Labor!C11)</f>
        <v>33.74</v>
      </c>
    </row>
    <row r="5" spans="2:10" customFormat="1" ht="13.5" customHeight="1" x14ac:dyDescent="0.3">
      <c r="J5" s="259">
        <f>Direct_Labor!C5</f>
        <v>0</v>
      </c>
    </row>
    <row r="6" spans="2:10" customFormat="1" ht="13.5" customHeight="1" x14ac:dyDescent="0.3">
      <c r="J6" s="259">
        <f>Direct_Labor!C7</f>
        <v>4.22</v>
      </c>
    </row>
    <row r="7" spans="2:10" customFormat="1" ht="13.5" customHeight="1" x14ac:dyDescent="0.3">
      <c r="B7" s="369" t="s">
        <v>718</v>
      </c>
      <c r="C7" s="369"/>
      <c r="D7" s="369"/>
      <c r="E7" s="369"/>
      <c r="F7" s="369"/>
      <c r="G7" s="369"/>
      <c r="H7" s="369"/>
      <c r="J7" s="259">
        <f>Direct_Labor!C23</f>
        <v>1.677192</v>
      </c>
    </row>
    <row r="8" spans="2:10" customFormat="1" ht="13.5" customHeight="1" x14ac:dyDescent="0.3">
      <c r="B8" s="392" t="s">
        <v>222</v>
      </c>
      <c r="C8" s="392"/>
      <c r="D8" s="392"/>
      <c r="E8" s="392"/>
      <c r="F8" s="374">
        <f>IF(IFERROR(_Calc_Backend!$U$5,0)&gt;0,_Calc_Backend!$U$5,_Calc_Backend!$X$36)</f>
        <v>336</v>
      </c>
      <c r="G8" s="374"/>
      <c r="H8" s="374"/>
      <c r="J8" s="258">
        <f>IF(IFERROR(_Calc_Backend!$U$5,0)&gt;0,_Calc_Backend!$U$7,J2*J3)</f>
        <v>21767.760000000002</v>
      </c>
    </row>
    <row r="9" spans="2:10" customFormat="1" ht="13.5" customHeight="1" x14ac:dyDescent="0.3">
      <c r="B9" s="392" t="s">
        <v>719</v>
      </c>
      <c r="C9" s="392"/>
      <c r="D9" s="392"/>
      <c r="E9" s="392"/>
      <c r="F9" s="393">
        <f>IF(IFERROR(_Calc_Backend!$U$5,0)&gt;0,_Calc_Backend!$U$7,J8*J3)</f>
        <v>21767.760000000002</v>
      </c>
      <c r="G9" s="393"/>
      <c r="H9" s="393"/>
      <c r="J9" s="57">
        <f>J8*52</f>
        <v>1131923.52</v>
      </c>
    </row>
    <row r="10" spans="2:10" customFormat="1" ht="13.5" customHeight="1" x14ac:dyDescent="0.3">
      <c r="B10" s="392" t="s">
        <v>720</v>
      </c>
      <c r="C10" s="392"/>
      <c r="D10" s="392"/>
      <c r="E10" s="392"/>
      <c r="F10" s="372">
        <f>IF(IFERROR(_Calc_Backend!$U$5,0)&gt;0,_Calc_Backend!$U$17+_Calc_Backend!$U$18,Direct_Labor!D23+Operations!D14)</f>
        <v>589505.28000000003</v>
      </c>
      <c r="G10" s="372"/>
      <c r="H10" s="372"/>
      <c r="J10" s="57">
        <f>IF(IFERROR(_Calc_Backend!$U$5,0)&gt;0,_Calc_Backend!$U$17+_Calc_Backend!$U$18,Direct_Labor!D23+Operations!D14)</f>
        <v>589505.28000000003</v>
      </c>
    </row>
    <row r="11" spans="2:10" customFormat="1" ht="13.5" customHeight="1" x14ac:dyDescent="0.3">
      <c r="B11" s="392" t="s">
        <v>721</v>
      </c>
      <c r="C11" s="392"/>
      <c r="D11" s="392"/>
      <c r="E11" s="392"/>
      <c r="F11" s="372">
        <f>Vehicle!C29</f>
        <v>61233.163636363635</v>
      </c>
      <c r="G11" s="372"/>
      <c r="H11" s="372"/>
      <c r="J11" s="261">
        <f>Vehicle!C29</f>
        <v>61233.163636363635</v>
      </c>
    </row>
    <row r="12" spans="2:10" customFormat="1" ht="13.5" customHeight="1" x14ac:dyDescent="0.3">
      <c r="B12" s="392" t="s">
        <v>722</v>
      </c>
      <c r="C12" s="392"/>
      <c r="D12" s="392"/>
      <c r="E12" s="392"/>
      <c r="F12" s="372">
        <f>Vehicle!C29</f>
        <v>61233.163636363635</v>
      </c>
      <c r="G12" s="372"/>
      <c r="H12" s="372"/>
      <c r="J12" s="261">
        <f>Vehicle!C29</f>
        <v>61233.163636363635</v>
      </c>
    </row>
    <row r="13" spans="2:10" customFormat="1" ht="13.5" customHeight="1" x14ac:dyDescent="0.3">
      <c r="B13" s="392" t="s">
        <v>723</v>
      </c>
      <c r="C13" s="392"/>
      <c r="D13" s="392"/>
      <c r="E13" s="392"/>
      <c r="F13" s="372">
        <f>J9+J11</f>
        <v>1193156.6836363636</v>
      </c>
      <c r="G13" s="372"/>
      <c r="H13" s="372"/>
      <c r="J13" s="57">
        <f>J9+J11</f>
        <v>1193156.6836363636</v>
      </c>
    </row>
    <row r="14" spans="2:10" customFormat="1" ht="13.5" hidden="1" customHeight="1" x14ac:dyDescent="0.3">
      <c r="B14" s="392" t="s">
        <v>724</v>
      </c>
      <c r="C14" s="392"/>
      <c r="D14" s="392"/>
      <c r="E14" s="392"/>
      <c r="F14" s="372">
        <f>J10+J12</f>
        <v>650738.44363636361</v>
      </c>
      <c r="G14" s="372"/>
      <c r="H14" s="372"/>
      <c r="J14" s="57">
        <f>J10+J12</f>
        <v>650738.44363636361</v>
      </c>
    </row>
    <row r="15" spans="2:10" customFormat="1" ht="13.5" hidden="1" customHeight="1" x14ac:dyDescent="0.3">
      <c r="B15" s="392" t="s">
        <v>725</v>
      </c>
      <c r="C15" s="392"/>
      <c r="D15" s="392"/>
      <c r="E15" s="392"/>
      <c r="F15" s="372">
        <f>J13-J14</f>
        <v>542418.24</v>
      </c>
      <c r="G15" s="372"/>
      <c r="H15" s="372"/>
      <c r="J15" s="57">
        <f>J13-J14</f>
        <v>542418.24</v>
      </c>
    </row>
    <row r="16" spans="2:10" customFormat="1" ht="13.5" hidden="1" customHeight="1" x14ac:dyDescent="0.3">
      <c r="B16" s="392" t="s">
        <v>726</v>
      </c>
      <c r="C16" s="392"/>
      <c r="D16" s="392"/>
      <c r="E16" s="392"/>
      <c r="F16" s="394">
        <f>IFERROR(J15/J13,0)</f>
        <v>0.45460772037657371</v>
      </c>
      <c r="G16" s="394"/>
      <c r="H16" s="394"/>
      <c r="J16" s="57">
        <f>IFERROR(J15/J13,0)</f>
        <v>0.45460772037657371</v>
      </c>
    </row>
    <row r="17" spans="2:10" customFormat="1" ht="13.5" hidden="1" customHeight="1" x14ac:dyDescent="0.3">
      <c r="B17" s="392" t="s">
        <v>727</v>
      </c>
      <c r="C17" s="392"/>
      <c r="D17" s="392"/>
      <c r="E17" s="392"/>
      <c r="F17" s="395">
        <f>IFERROR(J15/_Calc_Backend!$X$33,0)</f>
        <v>140.3367139959432</v>
      </c>
      <c r="G17" s="395"/>
      <c r="H17" s="395"/>
      <c r="J17" s="57">
        <f>IFERROR(J15/_Calc_Backend!$X$33,0)</f>
        <v>140.3367139959432</v>
      </c>
    </row>
    <row r="18" spans="2:10" customFormat="1" ht="13.5" customHeight="1" x14ac:dyDescent="0.3">
      <c r="J18" s="57">
        <f>IFERROR(J7/J3,0)</f>
        <v>2.5888585320676078E-2</v>
      </c>
    </row>
    <row r="19" spans="2:10" customFormat="1" ht="13.5" customHeight="1" x14ac:dyDescent="0.3">
      <c r="B19" s="369" t="s">
        <v>728</v>
      </c>
      <c r="C19" s="369"/>
      <c r="D19" s="369"/>
      <c r="E19" s="369"/>
      <c r="F19" s="369"/>
      <c r="G19" s="369"/>
      <c r="H19" s="369"/>
      <c r="J19" s="57">
        <f>IFERROR(J3/J7,0)</f>
        <v>38.627062375685078</v>
      </c>
    </row>
    <row r="20" spans="2:10" customFormat="1" ht="13.5" customHeight="1" x14ac:dyDescent="0.3">
      <c r="B20" s="392" t="s">
        <v>729</v>
      </c>
      <c r="C20" s="392"/>
      <c r="D20" s="392"/>
      <c r="E20" s="392"/>
      <c r="F20" s="393">
        <f>J3*1.5</f>
        <v>97.177500000000009</v>
      </c>
      <c r="G20" s="393"/>
      <c r="H20" s="393"/>
      <c r="J20" s="57">
        <f>J3*1.5</f>
        <v>97.177500000000009</v>
      </c>
    </row>
    <row r="21" spans="2:10" customFormat="1" ht="13.5" customHeight="1" x14ac:dyDescent="0.3">
      <c r="B21" s="392" t="s">
        <v>730</v>
      </c>
      <c r="C21" s="392"/>
      <c r="D21" s="392"/>
      <c r="E21" s="392"/>
      <c r="F21" s="393">
        <f>J11</f>
        <v>61233.163636363635</v>
      </c>
      <c r="G21" s="393"/>
      <c r="H21" s="393"/>
      <c r="J21" s="57">
        <f>J3*1.5</f>
        <v>97.177500000000009</v>
      </c>
    </row>
    <row r="22" spans="2:10" customFormat="1" ht="13.5" customHeight="1" x14ac:dyDescent="0.3">
      <c r="B22" s="396" t="s">
        <v>731</v>
      </c>
      <c r="C22" s="396"/>
      <c r="D22" s="396"/>
      <c r="E22" s="396"/>
      <c r="F22" s="397">
        <f>Appraisal_Full_Scope_Report!F32</f>
        <v>0</v>
      </c>
      <c r="G22" s="397"/>
      <c r="H22" s="397"/>
      <c r="J22" s="57">
        <f>IFERROR(J13/_Calc_Backend!$X$33,0)</f>
        <v>308.69848378222764</v>
      </c>
    </row>
    <row r="23" spans="2:10" customFormat="1" ht="13.5" customHeight="1" x14ac:dyDescent="0.3">
      <c r="J23" s="261">
        <f>Government_TCO!B8</f>
        <v>129.97639002857142</v>
      </c>
    </row>
    <row r="24" spans="2:10" customFormat="1" ht="13.5" customHeight="1" x14ac:dyDescent="0.3">
      <c r="B24" s="398" t="s">
        <v>732</v>
      </c>
      <c r="C24" s="398"/>
      <c r="D24" s="398"/>
      <c r="E24" s="398"/>
      <c r="F24" s="399">
        <f>Vendor_Pricing!B5</f>
        <v>90.983473019999991</v>
      </c>
      <c r="G24" s="399"/>
      <c r="H24" s="399"/>
      <c r="J24" s="259">
        <f>Vendor_Pricing!B5</f>
        <v>90.983473019999991</v>
      </c>
    </row>
    <row r="25" spans="2:10" customFormat="1" ht="13.5" customHeight="1" x14ac:dyDescent="0.3">
      <c r="B25" s="392" t="s">
        <v>733</v>
      </c>
      <c r="C25" s="392"/>
      <c r="D25" s="392"/>
      <c r="E25" s="392"/>
      <c r="F25" s="393">
        <f>Vendor_Pricing!B6</f>
        <v>63.688431113999989</v>
      </c>
      <c r="G25" s="393"/>
      <c r="H25" s="393"/>
      <c r="J25" s="259">
        <f>Vendor_Pricing!B6</f>
        <v>63.688431113999989</v>
      </c>
    </row>
    <row r="26" spans="2:10" customFormat="1" ht="13.5" customHeight="1" x14ac:dyDescent="0.3">
      <c r="B26" s="396" t="s">
        <v>734</v>
      </c>
      <c r="C26" s="396"/>
      <c r="D26" s="396"/>
      <c r="E26" s="396"/>
      <c r="F26" s="400">
        <f>Vendor_Pricing!B7</f>
        <v>77.335952066999994</v>
      </c>
      <c r="G26" s="400"/>
      <c r="H26" s="400"/>
      <c r="J26" s="261">
        <f>Vendor_Pricing!B7</f>
        <v>77.335952066999994</v>
      </c>
    </row>
    <row r="27" spans="2:10" customFormat="1" ht="13.5" customHeight="1" x14ac:dyDescent="0.3">
      <c r="J27" s="261">
        <f>Vendor_Pricing!B8</f>
        <v>90.983473019999991</v>
      </c>
    </row>
    <row r="28" spans="2:10" customFormat="1" ht="13.5" customHeight="1" x14ac:dyDescent="0.3">
      <c r="B28" s="396" t="s">
        <v>735</v>
      </c>
      <c r="C28" s="396"/>
      <c r="D28" s="396"/>
      <c r="E28" s="396"/>
      <c r="F28" s="393">
        <f>Vendor_Pricing!B9</f>
        <v>38.992917008571425</v>
      </c>
      <c r="G28" s="393"/>
      <c r="H28" s="393"/>
      <c r="J28" s="261">
        <f>Vendor_Pricing!B9</f>
        <v>38.992917008571425</v>
      </c>
    </row>
    <row r="29" spans="2:10" customFormat="1" ht="13.5" customHeight="1" x14ac:dyDescent="0.3">
      <c r="B29" s="396" t="s">
        <v>736</v>
      </c>
      <c r="C29" s="396"/>
      <c r="D29" s="396"/>
      <c r="E29" s="396"/>
      <c r="F29" s="401">
        <f>Inputs!B39</f>
        <v>0.21</v>
      </c>
      <c r="G29" s="401"/>
      <c r="H29" s="401"/>
      <c r="J29" s="262">
        <f>Inputs!B39</f>
        <v>0.21</v>
      </c>
    </row>
    <row r="30" spans="2:10" customFormat="1" ht="13.5" customHeight="1" x14ac:dyDescent="0.3">
      <c r="B30" s="396" t="s">
        <v>737</v>
      </c>
      <c r="C30" s="396"/>
      <c r="D30" s="396"/>
      <c r="E30" s="396"/>
      <c r="F30" s="372">
        <f>Buyer_Vendor_Comparison!C11</f>
        <v>0.30000000000000004</v>
      </c>
      <c r="G30" s="372"/>
      <c r="H30" s="372"/>
      <c r="J30" s="263">
        <f>Buyer_Vendor_Comparison!C11</f>
        <v>0.30000000000000004</v>
      </c>
    </row>
    <row r="31" spans="2:10" customFormat="1" ht="13.5" customHeight="1" x14ac:dyDescent="0.3">
      <c r="B31" s="392" t="s">
        <v>738</v>
      </c>
      <c r="C31" s="392"/>
      <c r="D31" s="392"/>
      <c r="E31" s="392"/>
      <c r="F31" s="393">
        <f>IFERROR(J14/12,0)</f>
        <v>54228.203636363636</v>
      </c>
      <c r="G31" s="393"/>
      <c r="H31" s="393"/>
      <c r="J31" s="266">
        <f>Inputs!B42</f>
        <v>1500</v>
      </c>
    </row>
    <row r="32" spans="2:10" customFormat="1" ht="13.5" customHeight="1" x14ac:dyDescent="0.3">
      <c r="B32" s="392" t="s">
        <v>739</v>
      </c>
      <c r="C32" s="392"/>
      <c r="D32" s="392"/>
      <c r="E32" s="392"/>
      <c r="F32" s="376">
        <f>IFERROR(H19/(F19/12),0)</f>
        <v>0</v>
      </c>
      <c r="G32" s="376"/>
      <c r="H32" s="376"/>
      <c r="J32" s="264">
        <f>IFERROR(H19/(F19/12),0)</f>
        <v>0</v>
      </c>
    </row>
    <row r="33" spans="2:10" customFormat="1" ht="13.5" customHeight="1" x14ac:dyDescent="0.3">
      <c r="J33" s="57">
        <f>IFERROR((J26-J25)/(J27-J25),0)</f>
        <v>0.50000000000000011</v>
      </c>
    </row>
    <row r="34" spans="2:10" customFormat="1" ht="13.5" customHeight="1" x14ac:dyDescent="0.3">
      <c r="B34" s="392" t="s">
        <v>422</v>
      </c>
      <c r="C34" s="392"/>
      <c r="D34" s="392"/>
      <c r="E34" s="392"/>
      <c r="F34" s="412">
        <f>Appraisal_Full_Scope_Report!F12</f>
        <v>1456</v>
      </c>
      <c r="G34" s="412"/>
      <c r="H34" s="412"/>
      <c r="J34" s="266"/>
    </row>
    <row r="35" spans="2:10" customFormat="1" ht="13.5" customHeight="1" x14ac:dyDescent="0.3">
      <c r="B35" s="392" t="s">
        <v>423</v>
      </c>
      <c r="C35" s="392"/>
      <c r="D35" s="392"/>
      <c r="E35" s="392"/>
      <c r="F35" s="412">
        <f>Appraisal_Full_Scope_Report!F15</f>
        <v>17472</v>
      </c>
      <c r="G35" s="412"/>
      <c r="H35" s="412"/>
      <c r="J35" s="266"/>
    </row>
    <row r="36" spans="2:10" customFormat="1" ht="13.5" hidden="1" customHeight="1" x14ac:dyDescent="0.3">
      <c r="B36" s="392" t="s">
        <v>740</v>
      </c>
      <c r="C36" s="392"/>
      <c r="D36" s="392"/>
      <c r="E36" s="392"/>
      <c r="F36" s="403">
        <f>IFERROR(J29/J35,0)</f>
        <v>0</v>
      </c>
      <c r="G36" s="403"/>
      <c r="H36" s="403"/>
      <c r="J36" s="57">
        <f>IFERROR(J29/J35,0)</f>
        <v>0</v>
      </c>
    </row>
    <row r="37" spans="2:10" customFormat="1" ht="13.5" customHeight="1" x14ac:dyDescent="0.25">
      <c r="B37" s="392" t="s">
        <v>648</v>
      </c>
      <c r="C37" s="392"/>
      <c r="D37" s="392"/>
      <c r="E37" s="392"/>
      <c r="F37" s="403">
        <f>J25</f>
        <v>63.688431113999989</v>
      </c>
      <c r="G37" s="403"/>
      <c r="H37" s="403"/>
    </row>
    <row r="38" spans="2:10" customFormat="1" ht="13.5" customHeight="1" x14ac:dyDescent="0.25">
      <c r="B38" s="392" t="s">
        <v>649</v>
      </c>
      <c r="C38" s="392"/>
      <c r="D38" s="392"/>
      <c r="E38" s="392"/>
      <c r="F38" s="403">
        <f>J26</f>
        <v>77.335952066999994</v>
      </c>
      <c r="G38" s="403"/>
      <c r="H38" s="403"/>
    </row>
    <row r="39" spans="2:10" customFormat="1" ht="13.5" customHeight="1" x14ac:dyDescent="0.25">
      <c r="B39" s="392" t="s">
        <v>740</v>
      </c>
      <c r="C39" s="392"/>
      <c r="D39" s="392"/>
      <c r="E39" s="392"/>
      <c r="F39" s="403">
        <f>J27</f>
        <v>90.983473019999991</v>
      </c>
      <c r="G39" s="403"/>
      <c r="H39" s="403"/>
    </row>
    <row r="40" spans="2:10" customFormat="1" ht="13.5" customHeight="1" x14ac:dyDescent="0.25">
      <c r="B40" s="396" t="s">
        <v>676</v>
      </c>
      <c r="C40" s="396"/>
      <c r="D40" s="396"/>
      <c r="E40" s="396"/>
      <c r="F40" s="404">
        <f>J28</f>
        <v>38.992917008571425</v>
      </c>
      <c r="G40" s="404"/>
      <c r="H40" s="404"/>
    </row>
    <row r="41" spans="2:10" customFormat="1" ht="13.5" customHeight="1" x14ac:dyDescent="0.25">
      <c r="B41" s="396" t="s">
        <v>679</v>
      </c>
      <c r="C41" s="396"/>
      <c r="D41" s="396"/>
      <c r="E41" s="396"/>
      <c r="F41" s="413">
        <f>F40*F35</f>
        <v>681284.24597375991</v>
      </c>
      <c r="G41" s="413"/>
      <c r="H41" s="413"/>
      <c r="J41" s="331">
        <f>F40*F35</f>
        <v>681284.24597375991</v>
      </c>
    </row>
    <row r="42" spans="2:10" customFormat="1" ht="14.25" customHeight="1" x14ac:dyDescent="0.25">
      <c r="B42" s="396" t="s">
        <v>84</v>
      </c>
      <c r="C42" s="396"/>
      <c r="D42" s="396"/>
      <c r="E42" s="396"/>
      <c r="F42" s="406">
        <f>J30</f>
        <v>0.30000000000000004</v>
      </c>
      <c r="G42" s="406"/>
      <c r="H42" s="406"/>
    </row>
    <row r="43" spans="2:10" customFormat="1" ht="12.75" customHeight="1" x14ac:dyDescent="0.25"/>
    <row r="44" spans="2:10" customFormat="1" ht="14.25" customHeight="1" x14ac:dyDescent="0.25">
      <c r="B44" s="369" t="s">
        <v>741</v>
      </c>
      <c r="C44" s="369"/>
      <c r="D44" s="369"/>
      <c r="E44" s="369"/>
      <c r="F44" s="369"/>
      <c r="G44" s="369"/>
      <c r="H44" s="369"/>
    </row>
    <row r="45" spans="2:10" customFormat="1" ht="14.25" customHeight="1" x14ac:dyDescent="0.25">
      <c r="B45" s="392" t="s">
        <v>172</v>
      </c>
      <c r="C45" s="392"/>
      <c r="D45" s="392"/>
      <c r="E45" s="392"/>
      <c r="F45" s="402">
        <f>Inputs!B42</f>
        <v>1500</v>
      </c>
      <c r="G45" s="402"/>
      <c r="H45" s="402"/>
    </row>
    <row r="46" spans="2:10" customFormat="1" ht="14.25" customHeight="1" x14ac:dyDescent="0.25">
      <c r="B46" s="392" t="s">
        <v>742</v>
      </c>
      <c r="C46" s="392"/>
      <c r="D46" s="392"/>
      <c r="E46" s="392"/>
      <c r="F46" s="407">
        <f>J32</f>
        <v>0</v>
      </c>
      <c r="G46" s="407"/>
      <c r="H46" s="407"/>
    </row>
    <row r="47" spans="2:10" customFormat="1" ht="14.25" customHeight="1" x14ac:dyDescent="0.25">
      <c r="B47" s="392" t="s">
        <v>743</v>
      </c>
      <c r="C47" s="392"/>
      <c r="D47" s="392"/>
      <c r="E47" s="392"/>
      <c r="F47" s="394">
        <f>J33</f>
        <v>0.50000000000000011</v>
      </c>
      <c r="G47" s="394"/>
      <c r="H47" s="394"/>
    </row>
    <row r="48" spans="2:10" customFormat="1" ht="14.25" customHeight="1" x14ac:dyDescent="0.25">
      <c r="B48" s="392" t="s">
        <v>744</v>
      </c>
      <c r="C48" s="392"/>
      <c r="D48" s="392"/>
      <c r="E48" s="392"/>
      <c r="F48" s="408">
        <f>J34</f>
        <v>0</v>
      </c>
      <c r="G48" s="408"/>
      <c r="H48" s="408"/>
    </row>
    <row r="49" spans="2:10" customFormat="1" ht="14.25" customHeight="1" x14ac:dyDescent="0.3">
      <c r="B49" s="260" t="s">
        <v>424</v>
      </c>
      <c r="C49" s="83"/>
      <c r="D49" s="83"/>
      <c r="E49" s="84"/>
      <c r="F49" s="265">
        <f>Appraisal_Full_Scope_Report!F14</f>
        <v>336</v>
      </c>
      <c r="G49" s="83"/>
      <c r="H49" s="84"/>
      <c r="J49" s="266"/>
    </row>
    <row r="50" spans="2:10" customFormat="1" ht="14.25" customHeight="1" x14ac:dyDescent="0.3">
      <c r="B50" s="392" t="s">
        <v>745</v>
      </c>
      <c r="C50" s="392"/>
      <c r="D50" s="392"/>
      <c r="E50" s="392"/>
      <c r="F50" s="392"/>
      <c r="G50" s="392"/>
      <c r="H50" s="392"/>
      <c r="J50" s="266"/>
    </row>
    <row r="51" spans="2:10" customFormat="1" ht="14.25" customHeight="1" x14ac:dyDescent="0.3">
      <c r="B51" s="260" t="s">
        <v>425</v>
      </c>
      <c r="C51" s="83"/>
      <c r="D51" s="83"/>
      <c r="E51" s="84"/>
      <c r="F51" s="265">
        <f>Appraisal_Full_Scope_Report!F16</f>
        <v>12</v>
      </c>
      <c r="G51" s="83"/>
      <c r="H51" s="84"/>
      <c r="J51" s="266"/>
    </row>
    <row r="52" spans="2:10" customFormat="1" ht="12.75" customHeight="1" x14ac:dyDescent="0.25"/>
    <row r="53" spans="2:10" customFormat="1" ht="60" customHeight="1" x14ac:dyDescent="0.25">
      <c r="B53" s="267" t="s">
        <v>746</v>
      </c>
    </row>
    <row r="54" spans="2:10" customFormat="1" ht="12.75" customHeight="1" x14ac:dyDescent="0.25"/>
    <row r="55" spans="2:10" customFormat="1" ht="12.75" customHeight="1" x14ac:dyDescent="0.25"/>
    <row r="56" spans="2:10" customFormat="1" ht="12.75" customHeight="1" x14ac:dyDescent="0.25"/>
    <row r="57" spans="2:10" customFormat="1" ht="12.75" customHeight="1" x14ac:dyDescent="0.25"/>
    <row r="58" spans="2:10" customFormat="1" ht="12.75" customHeight="1" x14ac:dyDescent="0.25"/>
    <row r="59" spans="2:10" customFormat="1" ht="12.75" customHeight="1" x14ac:dyDescent="0.25"/>
  </sheetData>
  <mergeCells count="75">
    <mergeCell ref="B47:E47"/>
    <mergeCell ref="F47:H47"/>
    <mergeCell ref="B48:E48"/>
    <mergeCell ref="F48:H48"/>
    <mergeCell ref="B50:H50"/>
    <mergeCell ref="B44:H44"/>
    <mergeCell ref="B45:E45"/>
    <mergeCell ref="F45:H45"/>
    <mergeCell ref="B46:E46"/>
    <mergeCell ref="F46:H46"/>
    <mergeCell ref="B40:E40"/>
    <mergeCell ref="F40:H40"/>
    <mergeCell ref="B41:E41"/>
    <mergeCell ref="F41:H41"/>
    <mergeCell ref="B42:E42"/>
    <mergeCell ref="F42:H42"/>
    <mergeCell ref="B37:E37"/>
    <mergeCell ref="F37:H37"/>
    <mergeCell ref="B38:E38"/>
    <mergeCell ref="F38:H38"/>
    <mergeCell ref="B39:E39"/>
    <mergeCell ref="F39:H39"/>
    <mergeCell ref="B34:E34"/>
    <mergeCell ref="F34:H34"/>
    <mergeCell ref="B35:E35"/>
    <mergeCell ref="F35:H35"/>
    <mergeCell ref="B36:E36"/>
    <mergeCell ref="F36:H36"/>
    <mergeCell ref="B30:E30"/>
    <mergeCell ref="F30:H30"/>
    <mergeCell ref="B31:E31"/>
    <mergeCell ref="F31:H31"/>
    <mergeCell ref="B32:E32"/>
    <mergeCell ref="F32:H32"/>
    <mergeCell ref="B26:E26"/>
    <mergeCell ref="F26:H26"/>
    <mergeCell ref="B28:E28"/>
    <mergeCell ref="F28:H28"/>
    <mergeCell ref="B29:E29"/>
    <mergeCell ref="F29:H29"/>
    <mergeCell ref="B22:E22"/>
    <mergeCell ref="F22:H22"/>
    <mergeCell ref="B24:E24"/>
    <mergeCell ref="F24:H24"/>
    <mergeCell ref="B25:E25"/>
    <mergeCell ref="F25:H25"/>
    <mergeCell ref="B19:H19"/>
    <mergeCell ref="B20:E20"/>
    <mergeCell ref="F20:H20"/>
    <mergeCell ref="B21:E21"/>
    <mergeCell ref="F21:H21"/>
    <mergeCell ref="B15:E15"/>
    <mergeCell ref="F15:H15"/>
    <mergeCell ref="B16:E16"/>
    <mergeCell ref="F16:H16"/>
    <mergeCell ref="B17:E17"/>
    <mergeCell ref="F17:H17"/>
    <mergeCell ref="B12:E12"/>
    <mergeCell ref="F12:H12"/>
    <mergeCell ref="B13:E13"/>
    <mergeCell ref="F13:H13"/>
    <mergeCell ref="B14:E14"/>
    <mergeCell ref="F14:H14"/>
    <mergeCell ref="B9:E9"/>
    <mergeCell ref="F9:H9"/>
    <mergeCell ref="B10:E10"/>
    <mergeCell ref="F10:H10"/>
    <mergeCell ref="B11:E11"/>
    <mergeCell ref="F11:H11"/>
    <mergeCell ref="B1:H1"/>
    <mergeCell ref="B2:H2"/>
    <mergeCell ref="B3:H3"/>
    <mergeCell ref="B7:H7"/>
    <mergeCell ref="B8:E8"/>
    <mergeCell ref="F8:H8"/>
  </mergeCells>
  <pageMargins left="0.7" right="0.7" top="0.75" bottom="0.75" header="0.511811023622047" footer="0.511811023622047"/>
  <pageSetup paperSize="9"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A41"/>
  <sheetViews>
    <sheetView zoomScaleNormal="100" workbookViewId="0"/>
  </sheetViews>
  <sheetFormatPr defaultColWidth="8.6640625" defaultRowHeight="12.75" customHeight="1" x14ac:dyDescent="0.25"/>
  <cols>
    <col min="1" max="1" width="10" customWidth="1"/>
    <col min="2" max="2" width="14" customWidth="1"/>
    <col min="3" max="3" width="15.77734375" customWidth="1"/>
    <col min="4" max="4" width="18" customWidth="1"/>
    <col min="5" max="5" width="12" customWidth="1"/>
    <col min="6" max="6" width="13" customWidth="1"/>
    <col min="8" max="8" width="13" customWidth="1"/>
    <col min="11" max="11" width="11" customWidth="1"/>
    <col min="12" max="12" width="11" hidden="1" customWidth="1"/>
    <col min="14" max="14" width="13" hidden="1" customWidth="1"/>
    <col min="15" max="15" width="14" customWidth="1"/>
    <col min="17" max="17" width="12.77734375" customWidth="1"/>
    <col min="18" max="18" width="14" customWidth="1"/>
    <col min="19" max="19" width="11" customWidth="1"/>
    <col min="20" max="20" width="18" hidden="1" customWidth="1"/>
    <col min="21" max="22" width="14" hidden="1" customWidth="1"/>
    <col min="23" max="23" width="17.5546875" hidden="1" customWidth="1"/>
    <col min="24" max="24" width="18" hidden="1" customWidth="1"/>
    <col min="25" max="25" width="14" hidden="1" customWidth="1"/>
    <col min="26" max="26" width="16" hidden="1" customWidth="1"/>
    <col min="27" max="27" width="24" hidden="1" customWidth="1"/>
  </cols>
  <sheetData>
    <row r="1" spans="1:23" ht="7.5" customHeight="1" x14ac:dyDescent="0.25">
      <c r="A1" s="414" t="s">
        <v>942</v>
      </c>
      <c r="B1" s="414"/>
      <c r="C1" s="414"/>
      <c r="D1" s="414"/>
      <c r="E1" s="414"/>
      <c r="F1" s="414"/>
      <c r="G1" s="414"/>
      <c r="H1" s="414"/>
      <c r="I1" s="414"/>
      <c r="J1" s="414"/>
      <c r="K1" s="414"/>
      <c r="L1" s="414"/>
      <c r="M1" s="414"/>
      <c r="N1" s="414"/>
      <c r="O1" s="414"/>
      <c r="P1" s="414"/>
      <c r="Q1" s="414"/>
      <c r="R1" s="414"/>
      <c r="S1" s="414"/>
      <c r="T1" s="415" t="s">
        <v>943</v>
      </c>
      <c r="U1" s="415"/>
    </row>
    <row r="2" spans="1:23" ht="8.25" customHeight="1" x14ac:dyDescent="0.25">
      <c r="A2" s="416" t="s">
        <v>944</v>
      </c>
      <c r="B2" s="416"/>
      <c r="C2" s="416"/>
      <c r="D2" s="416"/>
      <c r="E2" s="416"/>
      <c r="F2" s="416"/>
      <c r="G2" s="416"/>
      <c r="H2" s="416"/>
      <c r="I2" s="416"/>
      <c r="J2" s="416"/>
      <c r="K2" s="416"/>
      <c r="L2" s="416"/>
      <c r="M2" s="416"/>
      <c r="N2" s="416"/>
      <c r="O2" s="416"/>
      <c r="P2" s="416"/>
      <c r="Q2" s="416"/>
      <c r="R2" s="416"/>
      <c r="S2" s="416"/>
      <c r="T2" s="332" t="s">
        <v>945</v>
      </c>
      <c r="U2" s="333">
        <v>28</v>
      </c>
    </row>
    <row r="3" spans="1:23" ht="8.25" customHeight="1" x14ac:dyDescent="0.25">
      <c r="T3" s="332" t="s">
        <v>946</v>
      </c>
      <c r="U3" s="333">
        <v>1.5</v>
      </c>
    </row>
    <row r="4" spans="1:23" ht="8.25" customHeight="1" x14ac:dyDescent="0.25">
      <c r="B4" s="13" t="s">
        <v>947</v>
      </c>
      <c r="T4" s="417" t="s">
        <v>948</v>
      </c>
      <c r="U4" s="417"/>
      <c r="V4" t="s">
        <v>949</v>
      </c>
      <c r="W4" t="s">
        <v>950</v>
      </c>
    </row>
    <row r="5" spans="1:23" ht="8.25" customHeight="1" x14ac:dyDescent="0.25">
      <c r="T5" s="332" t="s">
        <v>222</v>
      </c>
      <c r="U5" s="334">
        <f>SUBTOTAL(109,_Calc_Backend!$E$7:$E$21)</f>
        <v>336</v>
      </c>
      <c r="V5" t="s">
        <v>951</v>
      </c>
      <c r="W5" t="s">
        <v>952</v>
      </c>
    </row>
    <row r="6" spans="1:23" ht="30.75" customHeight="1" x14ac:dyDescent="0.25">
      <c r="A6" s="335" t="s">
        <v>318</v>
      </c>
      <c r="B6" s="335" t="s">
        <v>872</v>
      </c>
      <c r="C6" s="335" t="s">
        <v>953</v>
      </c>
      <c r="D6" s="335" t="s">
        <v>954</v>
      </c>
      <c r="E6" s="335" t="s">
        <v>222</v>
      </c>
      <c r="F6" s="335" t="s">
        <v>955</v>
      </c>
      <c r="G6" s="335" t="s">
        <v>956</v>
      </c>
      <c r="H6" s="335" t="s">
        <v>957</v>
      </c>
      <c r="I6" s="335" t="s">
        <v>958</v>
      </c>
      <c r="J6" s="335" t="s">
        <v>959</v>
      </c>
      <c r="K6" s="335" t="s">
        <v>960</v>
      </c>
      <c r="L6" s="335" t="s">
        <v>961</v>
      </c>
      <c r="M6" s="335" t="s">
        <v>962</v>
      </c>
      <c r="N6" s="335" t="s">
        <v>963</v>
      </c>
      <c r="O6" s="335" t="s">
        <v>964</v>
      </c>
      <c r="P6" s="335" t="s">
        <v>965</v>
      </c>
      <c r="Q6" s="335" t="s">
        <v>763</v>
      </c>
      <c r="R6" s="335" t="s">
        <v>966</v>
      </c>
      <c r="S6" s="335" t="s">
        <v>967</v>
      </c>
      <c r="T6" s="332" t="s">
        <v>964</v>
      </c>
      <c r="U6" s="336">
        <f>SUBTOTAL(109,_Calc_Backend!$O$7:$O$21)</f>
        <v>11336.640000000001</v>
      </c>
      <c r="V6" s="335" t="s">
        <v>968</v>
      </c>
      <c r="W6" s="335" t="s">
        <v>969</v>
      </c>
    </row>
    <row r="7" spans="1:23" ht="21" customHeight="1" x14ac:dyDescent="0.25">
      <c r="A7" s="337" t="s">
        <v>92</v>
      </c>
      <c r="B7" s="338" t="str">
        <f>IF(Post_Positions!A2="","","Post 1")</f>
        <v>Post 1</v>
      </c>
      <c r="C7" s="338" t="str">
        <f>Post_Positions!A2</f>
        <v>Unarmed S/O</v>
      </c>
      <c r="D7" s="338"/>
      <c r="E7" s="339">
        <f>IF(Post_Positions!A2="","",Post_Positions!Q2)</f>
        <v>168</v>
      </c>
      <c r="F7" s="340">
        <f>IF($B7="","",Post_Positions!$C$12)</f>
        <v>33.74</v>
      </c>
      <c r="G7" s="341" t="s">
        <v>970</v>
      </c>
      <c r="H7" s="342"/>
      <c r="I7" s="343">
        <f>IF(OR(F7="",F7=0),"",((F7*(1+Inputs!$B$45+Inputs!$B$46))/Inputs!$B$43)*(Inputs!$B$44/Inputs!$B$6))</f>
        <v>123.94285714285716</v>
      </c>
      <c r="J7" s="343">
        <f>IF(E7="","",IF(G7="AUTO",I7*Inputs!$B$43,H7))</f>
        <v>86.76</v>
      </c>
      <c r="K7" s="344">
        <v>0</v>
      </c>
      <c r="L7" s="344">
        <v>0</v>
      </c>
      <c r="M7" s="339">
        <v>0</v>
      </c>
      <c r="N7" s="342">
        <v>0</v>
      </c>
      <c r="O7" s="343">
        <f t="shared" ref="O7:O21" si="0">IF(OR(E7="",F7=""),"",E7*F7*(1+$U$3*(IF(K7="",0,K7)+IF(L7="",0,L7))))</f>
        <v>5668.3200000000006</v>
      </c>
      <c r="P7" s="343">
        <f t="shared" ref="P7:P21" si="1">IF(OR(E7="",J7=""),"",E7*J7*(1+IF(L7="",0,L7)))</f>
        <v>14575.68</v>
      </c>
      <c r="Q7" s="343">
        <f t="shared" ref="Q7:Q21" si="2">IF(OR(M7="",N7=""),"",M7*N7)</f>
        <v>0</v>
      </c>
      <c r="R7" s="343">
        <f t="shared" ref="R7:R21" si="3">IF(OR(O7="",P7=""),"",P7-O7-IF(Q7="",0,Q7))</f>
        <v>8907.36</v>
      </c>
      <c r="S7" s="345">
        <f t="shared" ref="S7:S21" si="4">IF(E7="","",ROUNDUP(E7/28,0))</f>
        <v>6</v>
      </c>
      <c r="T7" s="332" t="s">
        <v>965</v>
      </c>
      <c r="U7" s="336">
        <f>SUBTOTAL(109,_Calc_Backend!$P$7:$P$21)</f>
        <v>21767.760000000002</v>
      </c>
      <c r="V7" s="342">
        <f>IF(Post_Positions!A2="","",Post_Positions!L2)</f>
        <v>27.48</v>
      </c>
      <c r="W7" s="341" t="s">
        <v>971</v>
      </c>
    </row>
    <row r="8" spans="1:23" ht="10.5" customHeight="1" x14ac:dyDescent="0.25">
      <c r="A8" s="337" t="s">
        <v>95</v>
      </c>
      <c r="B8" s="338" t="str">
        <f>IF(Post_Positions!A3="","","Post 2")</f>
        <v>Post 2</v>
      </c>
      <c r="C8" s="338" t="str">
        <f>Post_Positions!A3</f>
        <v>Supervisor</v>
      </c>
      <c r="D8" s="338"/>
      <c r="E8" s="339">
        <f>IF(Post_Positions!A3="","",Post_Positions!Q3)</f>
        <v>168</v>
      </c>
      <c r="F8" s="340">
        <f>IF($B8="","",Post_Positions!$C$12)</f>
        <v>33.74</v>
      </c>
      <c r="G8" s="341" t="s">
        <v>970</v>
      </c>
      <c r="H8" s="342"/>
      <c r="I8" s="343">
        <f>IF(OR(F8="",F8=0),"",((F8*(1+Inputs!$B$45+Inputs!$B$46))/Inputs!$B$43)*(Inputs!$B$44/Inputs!$B$6))</f>
        <v>123.94285714285716</v>
      </c>
      <c r="J8" s="343">
        <v>42.81</v>
      </c>
      <c r="K8" s="344">
        <v>0</v>
      </c>
      <c r="L8" s="344">
        <v>0</v>
      </c>
      <c r="M8" s="339">
        <v>0</v>
      </c>
      <c r="N8" s="342">
        <v>0</v>
      </c>
      <c r="O8" s="343">
        <f t="shared" si="0"/>
        <v>5668.3200000000006</v>
      </c>
      <c r="P8" s="343">
        <f t="shared" si="1"/>
        <v>7192.08</v>
      </c>
      <c r="Q8" s="343">
        <f t="shared" si="2"/>
        <v>0</v>
      </c>
      <c r="R8" s="343">
        <f t="shared" si="3"/>
        <v>1523.7599999999993</v>
      </c>
      <c r="S8" s="345">
        <f t="shared" si="4"/>
        <v>6</v>
      </c>
      <c r="T8" s="332" t="s">
        <v>763</v>
      </c>
      <c r="U8" s="336">
        <f>SUBTOTAL(109,_Calc_Backend!$Q$7:$Q$21)</f>
        <v>0</v>
      </c>
      <c r="V8" s="342">
        <f>IF(Post_Positions!A3="","",Post_Positions!L3)</f>
        <v>40</v>
      </c>
      <c r="W8" s="341" t="s">
        <v>971</v>
      </c>
    </row>
    <row r="9" spans="1:23" ht="10.5" customHeight="1" x14ac:dyDescent="0.25">
      <c r="A9" s="337" t="s">
        <v>98</v>
      </c>
      <c r="B9" s="338" t="str">
        <f>IF(Post_Positions!A4="","","Post 3")</f>
        <v>Post 3</v>
      </c>
      <c r="C9" s="338" t="str">
        <f>Post_Positions!A4</f>
        <v>Unarmed S/O</v>
      </c>
      <c r="D9" s="338"/>
      <c r="E9" s="339">
        <f>IF(Post_Positions!A4="","",Post_Positions!Q4)</f>
        <v>0</v>
      </c>
      <c r="F9" s="340">
        <f>IF($B9="","",Post_Positions!$C$12)</f>
        <v>33.74</v>
      </c>
      <c r="G9" s="341" t="s">
        <v>970</v>
      </c>
      <c r="H9" s="342"/>
      <c r="I9" s="343">
        <f>IF(OR(F9="",F9=0),"",((F9*(1+Inputs!$B$45+Inputs!$B$46))/Inputs!$B$43)*(Inputs!$B$44/Inputs!$B$6))</f>
        <v>123.94285714285716</v>
      </c>
      <c r="J9" s="343">
        <f>IF(E9="","",IF(G9="AUTO",I9*Inputs!$B$43,H9))</f>
        <v>86.76</v>
      </c>
      <c r="K9" s="344">
        <v>0</v>
      </c>
      <c r="L9" s="344">
        <v>0</v>
      </c>
      <c r="M9" s="339">
        <v>0</v>
      </c>
      <c r="N9" s="342">
        <v>0</v>
      </c>
      <c r="O9" s="343">
        <f t="shared" si="0"/>
        <v>0</v>
      </c>
      <c r="P9" s="343">
        <f t="shared" si="1"/>
        <v>0</v>
      </c>
      <c r="Q9" s="343">
        <f t="shared" si="2"/>
        <v>0</v>
      </c>
      <c r="R9" s="343">
        <f t="shared" si="3"/>
        <v>0</v>
      </c>
      <c r="S9" s="345">
        <f t="shared" si="4"/>
        <v>0</v>
      </c>
      <c r="T9" s="332" t="s">
        <v>966</v>
      </c>
      <c r="U9" s="336">
        <f>SUBTOTAL(109,_Calc_Backend!$R$7:$R$21)</f>
        <v>10431.119999999999</v>
      </c>
      <c r="V9" s="342">
        <f>IF(Post_Positions!A4="","",Post_Positions!L4)</f>
        <v>0</v>
      </c>
      <c r="W9" s="341" t="s">
        <v>971</v>
      </c>
    </row>
    <row r="10" spans="1:23" ht="10.5" customHeight="1" x14ac:dyDescent="0.25">
      <c r="A10" s="337" t="s">
        <v>101</v>
      </c>
      <c r="B10" s="338" t="str">
        <f>IF(Post_Positions!A5="","","Post 4")</f>
        <v>Post 4</v>
      </c>
      <c r="C10" s="338" t="str">
        <f>Post_Positions!A5</f>
        <v>Unarmed S/O</v>
      </c>
      <c r="D10" s="338"/>
      <c r="E10" s="339">
        <f>IF(Post_Positions!A5="","",Post_Positions!Q5)</f>
        <v>0</v>
      </c>
      <c r="F10" s="340">
        <f>IF($B10="","",Post_Positions!$C$12)</f>
        <v>33.74</v>
      </c>
      <c r="G10" s="341" t="s">
        <v>970</v>
      </c>
      <c r="H10" s="342"/>
      <c r="I10" s="343">
        <f>IF(OR(F10="",F10=0),"",((F10*(1+Inputs!$B$45+Inputs!$B$46))/Inputs!$B$43)*(Inputs!$B$44/Inputs!$B$6))</f>
        <v>123.94285714285716</v>
      </c>
      <c r="J10" s="343">
        <f>IF(E10="","",IF(G10="AUTO",I10*Inputs!$B$43,H10))</f>
        <v>86.76</v>
      </c>
      <c r="K10" s="344">
        <v>0</v>
      </c>
      <c r="L10" s="344">
        <v>0</v>
      </c>
      <c r="M10" s="339">
        <v>0</v>
      </c>
      <c r="N10" s="342">
        <v>0</v>
      </c>
      <c r="O10" s="343">
        <f t="shared" si="0"/>
        <v>0</v>
      </c>
      <c r="P10" s="343">
        <f t="shared" si="1"/>
        <v>0</v>
      </c>
      <c r="Q10" s="343">
        <f t="shared" si="2"/>
        <v>0</v>
      </c>
      <c r="R10" s="343">
        <f t="shared" si="3"/>
        <v>0</v>
      </c>
      <c r="S10" s="345">
        <f t="shared" si="4"/>
        <v>0</v>
      </c>
      <c r="T10" s="332" t="s">
        <v>967</v>
      </c>
      <c r="U10" s="334">
        <f>SUBTOTAL(109,_Calc_Backend!$S$7:$S$21)</f>
        <v>12</v>
      </c>
      <c r="V10" s="342">
        <f>IF(Post_Positions!A5="","",Post_Positions!L5)</f>
        <v>0</v>
      </c>
      <c r="W10" s="341" t="s">
        <v>971</v>
      </c>
    </row>
    <row r="11" spans="1:23" ht="10.5" customHeight="1" x14ac:dyDescent="0.25">
      <c r="A11" s="337" t="s">
        <v>104</v>
      </c>
      <c r="B11" s="338" t="str">
        <f>IF(Post_Positions!A6="","","Post 5")</f>
        <v>Post 5</v>
      </c>
      <c r="C11" s="338" t="str">
        <f>Post_Positions!A6</f>
        <v>Rovering Patrol Officer</v>
      </c>
      <c r="D11" s="338"/>
      <c r="E11" s="339">
        <f>IF(Post_Positions!A6="","",Post_Positions!Q6)</f>
        <v>0</v>
      </c>
      <c r="F11" s="340">
        <f>IF($B11="","",Post_Positions!$C$12)</f>
        <v>33.74</v>
      </c>
      <c r="G11" s="341" t="s">
        <v>970</v>
      </c>
      <c r="H11" s="342"/>
      <c r="I11" s="343">
        <f>IF(OR(F11="",F11=0),"",((F11*(1+Inputs!$B$45+Inputs!$B$46))/Inputs!$B$43)*(Inputs!$B$44/Inputs!$B$6))</f>
        <v>123.94285714285716</v>
      </c>
      <c r="J11" s="343">
        <f>IF(E11="","",IF(G11="AUTO",I11*Inputs!$B$43,H11))</f>
        <v>86.76</v>
      </c>
      <c r="K11" s="344">
        <v>0</v>
      </c>
      <c r="L11" s="344">
        <v>0</v>
      </c>
      <c r="M11" s="339">
        <v>0</v>
      </c>
      <c r="N11" s="342">
        <v>0</v>
      </c>
      <c r="O11" s="343">
        <f t="shared" si="0"/>
        <v>0</v>
      </c>
      <c r="P11" s="343">
        <f t="shared" si="1"/>
        <v>0</v>
      </c>
      <c r="Q11" s="343">
        <f t="shared" si="2"/>
        <v>0</v>
      </c>
      <c r="R11" s="343">
        <f t="shared" si="3"/>
        <v>0</v>
      </c>
      <c r="S11" s="345">
        <f t="shared" si="4"/>
        <v>0</v>
      </c>
      <c r="T11" s="418" t="s">
        <v>972</v>
      </c>
      <c r="U11" s="418"/>
      <c r="V11" s="342">
        <f>IF(Post_Positions!A6="","",Post_Positions!L6)</f>
        <v>0</v>
      </c>
      <c r="W11" s="341" t="s">
        <v>971</v>
      </c>
    </row>
    <row r="12" spans="1:23" ht="10.5" customHeight="1" x14ac:dyDescent="0.25">
      <c r="A12" s="337" t="s">
        <v>107</v>
      </c>
      <c r="B12" s="338" t="str">
        <f>IF(Post_Positions!A7="","","Post 6")</f>
        <v>Post 6</v>
      </c>
      <c r="C12" s="338" t="str">
        <f>Post_Positions!A7</f>
        <v>Unarmed S/O</v>
      </c>
      <c r="D12" s="338"/>
      <c r="E12" s="339">
        <f>IF(Post_Positions!A7="","",Post_Positions!Q7)</f>
        <v>0</v>
      </c>
      <c r="F12" s="340">
        <f>IF($B12="","",Post_Positions!$C$12)</f>
        <v>33.74</v>
      </c>
      <c r="G12" s="341" t="s">
        <v>970</v>
      </c>
      <c r="H12" s="342"/>
      <c r="I12" s="343">
        <f>IF(OR(F12="",F12=0),"",((F12*(1+Inputs!$B$45+Inputs!$B$46))/Inputs!$B$43)*(Inputs!$B$44/Inputs!$B$6))</f>
        <v>123.94285714285716</v>
      </c>
      <c r="J12" s="343">
        <f>IF(E12="","",IF(G12="AUTO",I12*Inputs!$B$43,H12))</f>
        <v>86.76</v>
      </c>
      <c r="K12" s="344">
        <v>0</v>
      </c>
      <c r="L12" s="344">
        <v>0</v>
      </c>
      <c r="M12" s="339">
        <v>0</v>
      </c>
      <c r="N12" s="342">
        <v>0</v>
      </c>
      <c r="O12" s="343">
        <f t="shared" si="0"/>
        <v>0</v>
      </c>
      <c r="P12" s="343">
        <f t="shared" si="1"/>
        <v>0</v>
      </c>
      <c r="Q12" s="343">
        <f t="shared" si="2"/>
        <v>0</v>
      </c>
      <c r="R12" s="343">
        <f t="shared" si="3"/>
        <v>0</v>
      </c>
      <c r="S12" s="345">
        <f t="shared" si="4"/>
        <v>0</v>
      </c>
      <c r="T12" s="418"/>
      <c r="U12" s="418"/>
      <c r="V12" s="342">
        <f>IF(Post_Positions!A7="","",Post_Positions!L7)</f>
        <v>0</v>
      </c>
      <c r="W12" s="341" t="s">
        <v>971</v>
      </c>
    </row>
    <row r="13" spans="1:23" ht="10.5" customHeight="1" x14ac:dyDescent="0.25">
      <c r="A13" s="337" t="s">
        <v>973</v>
      </c>
      <c r="B13" s="338" t="str">
        <f>IF(Post_Positions!A8="","","Post 7")</f>
        <v>Post 7</v>
      </c>
      <c r="C13" s="338" t="str">
        <f>Post_Positions!A8</f>
        <v>Unarmed S/O</v>
      </c>
      <c r="D13" s="338"/>
      <c r="E13" s="339">
        <f>IF(Post_Positions!A8="","",Post_Positions!Q8)</f>
        <v>0</v>
      </c>
      <c r="F13" s="340">
        <f>IF($B13="","",Post_Positions!$C$12)</f>
        <v>33.74</v>
      </c>
      <c r="G13" s="341" t="s">
        <v>970</v>
      </c>
      <c r="H13" s="342"/>
      <c r="I13" s="343">
        <f>IF(OR(F13="",F13=0),"",((F13*(1+Inputs!$B$45+Inputs!$B$46))/Inputs!$B$43)*(Inputs!$B$44/Inputs!$B$6))</f>
        <v>123.94285714285716</v>
      </c>
      <c r="J13" s="343">
        <f>IF(E13="","",IF(G13="AUTO",I13*Inputs!$B$43,H13))</f>
        <v>86.76</v>
      </c>
      <c r="K13" s="344">
        <v>0</v>
      </c>
      <c r="L13" s="344">
        <v>0</v>
      </c>
      <c r="M13" s="339">
        <v>0</v>
      </c>
      <c r="N13" s="342">
        <v>0</v>
      </c>
      <c r="O13" s="343">
        <f t="shared" si="0"/>
        <v>0</v>
      </c>
      <c r="P13" s="343">
        <f t="shared" si="1"/>
        <v>0</v>
      </c>
      <c r="Q13" s="343">
        <f t="shared" si="2"/>
        <v>0</v>
      </c>
      <c r="R13" s="343">
        <f t="shared" si="3"/>
        <v>0</v>
      </c>
      <c r="S13" s="345">
        <f t="shared" si="4"/>
        <v>0</v>
      </c>
      <c r="T13" s="332" t="s">
        <v>223</v>
      </c>
      <c r="U13" s="346">
        <f>IF(U5="","",U5*52)</f>
        <v>17472</v>
      </c>
      <c r="V13" s="342">
        <f>IF(Post_Positions!A8="","",Post_Positions!L8)</f>
        <v>0</v>
      </c>
      <c r="W13" s="341" t="s">
        <v>971</v>
      </c>
    </row>
    <row r="14" spans="1:23" ht="21" customHeight="1" x14ac:dyDescent="0.25">
      <c r="A14" s="337" t="s">
        <v>974</v>
      </c>
      <c r="B14" s="338" t="str">
        <f>IF(Post_Positions!A9="","","Post 8")</f>
        <v>Post 8</v>
      </c>
      <c r="C14" s="338" t="str">
        <f>Post_Positions!A9</f>
        <v>Unarmed S/O</v>
      </c>
      <c r="D14" s="338"/>
      <c r="E14" s="339">
        <f>IF(Post_Positions!A9="","",Post_Positions!Q9)</f>
        <v>0</v>
      </c>
      <c r="F14" s="340">
        <f>IF($B14="","",Post_Positions!$C$12)</f>
        <v>33.74</v>
      </c>
      <c r="G14" s="341" t="s">
        <v>970</v>
      </c>
      <c r="H14" s="342"/>
      <c r="I14" s="343">
        <f>IF(OR(F14="",F14=0),"",((F14*(1+Inputs!$B$45+Inputs!$B$46))/Inputs!$B$43)*(Inputs!$B$44/Inputs!$B$6))</f>
        <v>123.94285714285716</v>
      </c>
      <c r="J14" s="343">
        <f>IF(E14="","",IF(G14="AUTO",I14*Inputs!$B$43,H14))</f>
        <v>86.76</v>
      </c>
      <c r="K14" s="344">
        <v>0</v>
      </c>
      <c r="L14" s="344">
        <v>0</v>
      </c>
      <c r="M14" s="339">
        <v>0</v>
      </c>
      <c r="N14" s="342">
        <v>0</v>
      </c>
      <c r="O14" s="343">
        <f t="shared" si="0"/>
        <v>0</v>
      </c>
      <c r="P14" s="343">
        <f t="shared" si="1"/>
        <v>0</v>
      </c>
      <c r="Q14" s="343">
        <f t="shared" si="2"/>
        <v>0</v>
      </c>
      <c r="R14" s="343">
        <f t="shared" si="3"/>
        <v>0</v>
      </c>
      <c r="S14" s="345">
        <f t="shared" si="4"/>
        <v>0</v>
      </c>
      <c r="T14" s="332" t="s">
        <v>975</v>
      </c>
      <c r="U14" s="336">
        <f>IFERROR(Post_Positions!$C$12,"")</f>
        <v>33.74</v>
      </c>
      <c r="V14" s="342">
        <f>IF(Post_Positions!A9="","",Post_Positions!L9)</f>
        <v>0</v>
      </c>
      <c r="W14" s="341" t="s">
        <v>971</v>
      </c>
    </row>
    <row r="15" spans="1:23" ht="10.5" customHeight="1" x14ac:dyDescent="0.25">
      <c r="A15" s="337" t="s">
        <v>976</v>
      </c>
      <c r="B15" s="338" t="str">
        <f>IF(Post_Positions!A10="","","Post 9")</f>
        <v>Post 9</v>
      </c>
      <c r="C15" s="338" t="str">
        <f>Post_Positions!A10</f>
        <v>Unarmed S/O</v>
      </c>
      <c r="D15" s="338"/>
      <c r="E15" s="339">
        <f>IF(Post_Positions!A10="","",Post_Positions!Q10)</f>
        <v>0</v>
      </c>
      <c r="F15" s="340">
        <f>IF($B15="","",Post_Positions!$C$12)</f>
        <v>33.74</v>
      </c>
      <c r="G15" s="341" t="s">
        <v>970</v>
      </c>
      <c r="H15" s="342"/>
      <c r="I15" s="343">
        <f>IF(OR(F15="",F15=0),"",((F15*(1+Inputs!$B$45+Inputs!$B$46))/Inputs!$B$43)*(Inputs!$B$44/Inputs!$B$6))</f>
        <v>123.94285714285716</v>
      </c>
      <c r="J15" s="343">
        <f>IF(E15="","",IF(G15="AUTO",I15*Inputs!$B$43,H15))</f>
        <v>86.76</v>
      </c>
      <c r="K15" s="344">
        <v>0</v>
      </c>
      <c r="L15" s="344">
        <v>0</v>
      </c>
      <c r="M15" s="339">
        <v>0</v>
      </c>
      <c r="N15" s="342">
        <v>0</v>
      </c>
      <c r="O15" s="343">
        <f t="shared" si="0"/>
        <v>0</v>
      </c>
      <c r="P15" s="343">
        <f t="shared" si="1"/>
        <v>0</v>
      </c>
      <c r="Q15" s="343">
        <f t="shared" si="2"/>
        <v>0</v>
      </c>
      <c r="R15" s="343">
        <f t="shared" si="3"/>
        <v>0</v>
      </c>
      <c r="S15" s="345">
        <f t="shared" si="4"/>
        <v>0</v>
      </c>
      <c r="T15" s="332" t="s">
        <v>977</v>
      </c>
      <c r="U15" s="336">
        <f>IFERROR(U7/U5,"")</f>
        <v>64.785000000000011</v>
      </c>
      <c r="V15" s="342">
        <f>IF(Post_Positions!A10="","",Post_Positions!L10)</f>
        <v>0</v>
      </c>
      <c r="W15" s="341" t="s">
        <v>971</v>
      </c>
    </row>
    <row r="16" spans="1:23" ht="10.5" customHeight="1" x14ac:dyDescent="0.25">
      <c r="A16" s="337" t="s">
        <v>978</v>
      </c>
      <c r="B16" s="338" t="str">
        <f>IF(Post_Positions!A11="","","Post 10")</f>
        <v>Post 10</v>
      </c>
      <c r="C16" s="338" t="str">
        <f>Post_Positions!A11</f>
        <v>Unarmed S/O</v>
      </c>
      <c r="D16" s="338"/>
      <c r="E16" s="339">
        <f>IF(Post_Positions!A11="","",Post_Positions!Q11)</f>
        <v>0</v>
      </c>
      <c r="F16" s="340">
        <f>IF($B16="","",Post_Positions!$C$12)</f>
        <v>33.74</v>
      </c>
      <c r="G16" s="341" t="s">
        <v>970</v>
      </c>
      <c r="H16" s="342"/>
      <c r="I16" s="343">
        <f>IF(OR(F16="",F16=0),"",((F16*(1+Inputs!$B$45+Inputs!$B$46))/Inputs!$B$43)*(Inputs!$B$44/Inputs!$B$6))</f>
        <v>123.94285714285716</v>
      </c>
      <c r="J16" s="343">
        <f>IF(E16="","",IF(G16="AUTO",I16*Inputs!$B$43,H16))</f>
        <v>86.76</v>
      </c>
      <c r="K16" s="344">
        <v>0</v>
      </c>
      <c r="L16" s="344">
        <v>0</v>
      </c>
      <c r="M16" s="339">
        <v>0</v>
      </c>
      <c r="N16" s="342">
        <v>0</v>
      </c>
      <c r="O16" s="343">
        <f t="shared" si="0"/>
        <v>0</v>
      </c>
      <c r="P16" s="343">
        <f t="shared" si="1"/>
        <v>0</v>
      </c>
      <c r="Q16" s="343">
        <f t="shared" si="2"/>
        <v>0</v>
      </c>
      <c r="R16" s="343">
        <f t="shared" si="3"/>
        <v>0</v>
      </c>
      <c r="S16" s="345">
        <f t="shared" si="4"/>
        <v>0</v>
      </c>
      <c r="T16" s="332" t="s">
        <v>979</v>
      </c>
      <c r="U16" s="336">
        <f>IF(U7="","",U7*52)</f>
        <v>1131923.52</v>
      </c>
      <c r="V16" s="342">
        <f>IF(Post_Positions!A11="","",Post_Positions!L11)</f>
        <v>0</v>
      </c>
      <c r="W16" s="341" t="s">
        <v>971</v>
      </c>
    </row>
    <row r="17" spans="1:27" ht="10.5" customHeight="1" x14ac:dyDescent="0.25">
      <c r="A17" s="337" t="s">
        <v>980</v>
      </c>
      <c r="B17" s="338"/>
      <c r="C17" s="338"/>
      <c r="D17" s="338"/>
      <c r="E17" s="339"/>
      <c r="F17" s="340" t="str">
        <f>IF($B17="","",Post_Positions!$C$12)</f>
        <v/>
      </c>
      <c r="G17" s="341" t="s">
        <v>970</v>
      </c>
      <c r="H17" s="342"/>
      <c r="I17" s="343" t="str">
        <f>IF(OR(F17="",F17=0),"",((F17*(1+Inputs!$B$45+Inputs!$B$46))/Inputs!$B$43)*(Inputs!$B$44/Inputs!$B$6))</f>
        <v/>
      </c>
      <c r="J17" s="343" t="str">
        <f>IF(E17="","",IF(G17="AUTO",I17*Inputs!$B$43,H17))</f>
        <v/>
      </c>
      <c r="K17" s="344"/>
      <c r="L17" s="344"/>
      <c r="M17" s="339"/>
      <c r="N17" s="342"/>
      <c r="O17" s="343" t="str">
        <f t="shared" si="0"/>
        <v/>
      </c>
      <c r="P17" s="343" t="str">
        <f t="shared" si="1"/>
        <v/>
      </c>
      <c r="Q17" s="343" t="str">
        <f t="shared" si="2"/>
        <v/>
      </c>
      <c r="R17" s="343" t="str">
        <f t="shared" si="3"/>
        <v/>
      </c>
      <c r="S17" s="345" t="str">
        <f t="shared" si="4"/>
        <v/>
      </c>
      <c r="T17" s="332" t="s">
        <v>981</v>
      </c>
      <c r="U17" s="336">
        <f>IF(U6="","",U6*52)</f>
        <v>589505.28000000003</v>
      </c>
      <c r="V17" s="342"/>
      <c r="W17" s="341"/>
    </row>
    <row r="18" spans="1:27" ht="21" customHeight="1" x14ac:dyDescent="0.25">
      <c r="A18" s="337" t="s">
        <v>982</v>
      </c>
      <c r="B18" s="338"/>
      <c r="C18" s="338"/>
      <c r="D18" s="338"/>
      <c r="E18" s="339"/>
      <c r="F18" s="340" t="str">
        <f>IF($B18="","",Post_Positions!$C$12)</f>
        <v/>
      </c>
      <c r="G18" s="341" t="s">
        <v>970</v>
      </c>
      <c r="H18" s="342"/>
      <c r="I18" s="343" t="str">
        <f>IF(OR(F18="",F18=0),"",((F18*(1+Inputs!$B$45+Inputs!$B$46))/Inputs!$B$43)*(Inputs!$B$44/Inputs!$B$6))</f>
        <v/>
      </c>
      <c r="J18" s="343" t="str">
        <f>IF(E18="","",IF(G18="AUTO",I18*Inputs!$B$43,H18))</f>
        <v/>
      </c>
      <c r="K18" s="344"/>
      <c r="L18" s="344"/>
      <c r="M18" s="339"/>
      <c r="N18" s="342"/>
      <c r="O18" s="343" t="str">
        <f t="shared" si="0"/>
        <v/>
      </c>
      <c r="P18" s="343" t="str">
        <f t="shared" si="1"/>
        <v/>
      </c>
      <c r="Q18" s="343" t="str">
        <f t="shared" si="2"/>
        <v/>
      </c>
      <c r="R18" s="343" t="str">
        <f t="shared" si="3"/>
        <v/>
      </c>
      <c r="S18" s="345" t="str">
        <f t="shared" si="4"/>
        <v/>
      </c>
      <c r="T18" s="332" t="s">
        <v>983</v>
      </c>
      <c r="U18" s="336">
        <f>IF(U8="","",U8*52)</f>
        <v>0</v>
      </c>
      <c r="V18" s="342"/>
      <c r="W18" s="341"/>
    </row>
    <row r="19" spans="1:27" ht="10.5" customHeight="1" x14ac:dyDescent="0.25">
      <c r="A19" s="337" t="s">
        <v>984</v>
      </c>
      <c r="B19" s="338"/>
      <c r="C19" s="338"/>
      <c r="D19" s="338"/>
      <c r="E19" s="339"/>
      <c r="F19" s="340" t="str">
        <f>IF($B19="","",Post_Positions!$C$12)</f>
        <v/>
      </c>
      <c r="G19" s="341" t="s">
        <v>970</v>
      </c>
      <c r="H19" s="342"/>
      <c r="I19" s="343" t="str">
        <f>IF(OR(F19="",F19=0),"",((F19*(1+Inputs!$B$45+Inputs!$B$46))/Inputs!$B$43)*(Inputs!$B$44/Inputs!$B$6))</f>
        <v/>
      </c>
      <c r="J19" s="343" t="str">
        <f>IF(E19="","",IF(G19="AUTO",I19*Inputs!$B$43,H19))</f>
        <v/>
      </c>
      <c r="K19" s="344"/>
      <c r="L19" s="344"/>
      <c r="M19" s="339"/>
      <c r="N19" s="342"/>
      <c r="O19" s="343" t="str">
        <f t="shared" si="0"/>
        <v/>
      </c>
      <c r="P19" s="343" t="str">
        <f t="shared" si="1"/>
        <v/>
      </c>
      <c r="Q19" s="343" t="str">
        <f t="shared" si="2"/>
        <v/>
      </c>
      <c r="R19" s="343" t="str">
        <f t="shared" si="3"/>
        <v/>
      </c>
      <c r="S19" s="345" t="str">
        <f t="shared" si="4"/>
        <v/>
      </c>
      <c r="T19" s="332" t="s">
        <v>985</v>
      </c>
      <c r="U19" s="336">
        <f>IF(U9="","",U9*52)</f>
        <v>542418.24</v>
      </c>
      <c r="V19" s="342"/>
      <c r="W19" s="341"/>
    </row>
    <row r="20" spans="1:27" ht="21" customHeight="1" x14ac:dyDescent="0.25">
      <c r="A20" s="337" t="s">
        <v>986</v>
      </c>
      <c r="B20" s="338"/>
      <c r="C20" s="338"/>
      <c r="D20" s="338"/>
      <c r="E20" s="339"/>
      <c r="F20" s="340" t="str">
        <f>IF($B20="","",Post_Positions!$C$12)</f>
        <v/>
      </c>
      <c r="G20" s="341" t="s">
        <v>970</v>
      </c>
      <c r="H20" s="342"/>
      <c r="I20" s="343" t="str">
        <f>IF(OR(F20="",F20=0),"",((F20*(1+Inputs!$B$45+Inputs!$B$46))/Inputs!$B$43)*(Inputs!$B$44/Inputs!$B$6))</f>
        <v/>
      </c>
      <c r="J20" s="343" t="str">
        <f>IF(E20="","",IF(G20="AUTO",I20*Inputs!$B$43,H20))</f>
        <v/>
      </c>
      <c r="K20" s="344"/>
      <c r="L20" s="344"/>
      <c r="M20" s="339"/>
      <c r="N20" s="342"/>
      <c r="O20" s="343" t="str">
        <f t="shared" si="0"/>
        <v/>
      </c>
      <c r="P20" s="343" t="str">
        <f t="shared" si="1"/>
        <v/>
      </c>
      <c r="Q20" s="343" t="str">
        <f t="shared" si="2"/>
        <v/>
      </c>
      <c r="R20" s="343" t="str">
        <f t="shared" si="3"/>
        <v/>
      </c>
      <c r="S20" s="345" t="str">
        <f t="shared" si="4"/>
        <v/>
      </c>
      <c r="T20" s="332" t="s">
        <v>987</v>
      </c>
      <c r="U20" s="336">
        <f>IFERROR(U15-Vendor_Pricing!B7,"")</f>
        <v>-12.550952066999983</v>
      </c>
      <c r="V20" s="342"/>
      <c r="W20" s="341"/>
    </row>
    <row r="21" spans="1:27" ht="10.5" customHeight="1" x14ac:dyDescent="0.25">
      <c r="A21" s="337" t="s">
        <v>988</v>
      </c>
      <c r="B21" s="338"/>
      <c r="C21" s="338"/>
      <c r="D21" s="338"/>
      <c r="E21" s="339"/>
      <c r="F21" s="340" t="str">
        <f>IF($B21="","",Post_Positions!$C$12)</f>
        <v/>
      </c>
      <c r="G21" s="341" t="s">
        <v>970</v>
      </c>
      <c r="H21" s="342"/>
      <c r="I21" s="343" t="str">
        <f>IF(OR(F21="",F21=0),"",((F21*(1+Inputs!$B$45+Inputs!$B$46))/Inputs!$B$43)*(Inputs!$B$44/Inputs!$B$6))</f>
        <v/>
      </c>
      <c r="J21" s="343" t="str">
        <f>IF(E21="","",IF(G21="AUTO",I21*Inputs!$B$43,H21))</f>
        <v/>
      </c>
      <c r="K21" s="344"/>
      <c r="L21" s="344"/>
      <c r="M21" s="339"/>
      <c r="N21" s="342"/>
      <c r="O21" s="343" t="str">
        <f t="shared" si="0"/>
        <v/>
      </c>
      <c r="P21" s="343" t="str">
        <f t="shared" si="1"/>
        <v/>
      </c>
      <c r="Q21" s="343" t="str">
        <f t="shared" si="2"/>
        <v/>
      </c>
      <c r="R21" s="343" t="str">
        <f t="shared" si="3"/>
        <v/>
      </c>
      <c r="S21" s="345" t="str">
        <f t="shared" si="4"/>
        <v/>
      </c>
      <c r="T21" s="332" t="s">
        <v>773</v>
      </c>
      <c r="U21" s="347" t="str">
        <f>IF(U5&gt;0,"ACTIVE - pricing tabs linked to Post_Positions","INACTIVE - using manual worksheet inputs")</f>
        <v>ACTIVE - pricing tabs linked to Post_Positions</v>
      </c>
      <c r="V21" s="342"/>
      <c r="W21" s="341"/>
    </row>
    <row r="22" spans="1:27" ht="21" customHeight="1" x14ac:dyDescent="0.25">
      <c r="A22" s="348" t="s">
        <v>989</v>
      </c>
      <c r="B22" s="349"/>
      <c r="C22" s="349"/>
      <c r="D22" s="349"/>
      <c r="E22" s="350">
        <f>SUBTOTAL(109,_Calc_Backend!$E$7:$E$21)</f>
        <v>336</v>
      </c>
      <c r="F22" s="349"/>
      <c r="G22" s="349"/>
      <c r="H22" s="349"/>
      <c r="I22" s="349"/>
      <c r="J22" s="349"/>
      <c r="K22" s="351"/>
      <c r="L22" s="351"/>
      <c r="M22" s="351"/>
      <c r="N22" s="349"/>
      <c r="O22" s="352">
        <f>SUBTOTAL(109,_Calc_Backend!$O$7:$O$21)</f>
        <v>11336.640000000001</v>
      </c>
      <c r="P22" s="352">
        <f>SUBTOTAL(109,_Calc_Backend!$P$7:$P$21)</f>
        <v>21767.760000000002</v>
      </c>
      <c r="Q22" s="352">
        <f>SUBTOTAL(109,_Calc_Backend!$Q$7:$Q$21)</f>
        <v>0</v>
      </c>
      <c r="R22" s="352">
        <f>SUBTOTAL(109,_Calc_Backend!$R$7:$R$21)</f>
        <v>10431.119999999999</v>
      </c>
      <c r="S22" s="350">
        <f>SUBTOTAL(109,_Calc_Backend!$S$7:$S$21)</f>
        <v>12</v>
      </c>
      <c r="T22" s="332" t="s">
        <v>9</v>
      </c>
      <c r="U22" s="346">
        <f>X33</f>
        <v>3865.12</v>
      </c>
      <c r="V22" s="349"/>
      <c r="W22" s="349"/>
    </row>
    <row r="23" spans="1:27" ht="8.25" customHeight="1" x14ac:dyDescent="0.25">
      <c r="T23" s="332" t="s">
        <v>990</v>
      </c>
      <c r="U23" s="346">
        <f>X36</f>
        <v>336</v>
      </c>
    </row>
    <row r="24" spans="1:27" ht="8.25" customHeight="1" x14ac:dyDescent="0.25">
      <c r="T24" s="332" t="s">
        <v>246</v>
      </c>
      <c r="U24" s="346">
        <f>X37</f>
        <v>17472</v>
      </c>
      <c r="W24" s="360" t="s">
        <v>991</v>
      </c>
      <c r="X24" s="360"/>
      <c r="Y24" s="360"/>
      <c r="Z24" s="360"/>
      <c r="AA24" s="360"/>
    </row>
    <row r="25" spans="1:27" ht="10.5" customHeight="1" x14ac:dyDescent="0.25">
      <c r="T25" s="332" t="s">
        <v>56</v>
      </c>
      <c r="U25" s="353">
        <f>X38</f>
        <v>12</v>
      </c>
      <c r="W25" s="361" t="s">
        <v>992</v>
      </c>
      <c r="X25" s="361"/>
      <c r="Y25" s="361"/>
      <c r="Z25" s="361"/>
      <c r="AA25" s="361"/>
    </row>
    <row r="26" spans="1:27" ht="15.75" customHeight="1" x14ac:dyDescent="0.25">
      <c r="W26" s="362" t="s">
        <v>993</v>
      </c>
      <c r="X26" s="362"/>
      <c r="Y26" s="362"/>
      <c r="Z26" s="59"/>
      <c r="AA26" s="59"/>
    </row>
    <row r="27" spans="1:27" ht="33" customHeight="1" x14ac:dyDescent="0.25">
      <c r="W27" s="63" t="s">
        <v>994</v>
      </c>
      <c r="X27" s="79">
        <v>8.5</v>
      </c>
    </row>
    <row r="28" spans="1:27" ht="33" customHeight="1" x14ac:dyDescent="0.25">
      <c r="W28" s="63" t="s">
        <v>995</v>
      </c>
      <c r="X28" s="79">
        <v>7</v>
      </c>
    </row>
    <row r="29" spans="1:27" ht="21.75" customHeight="1" x14ac:dyDescent="0.25">
      <c r="W29" s="63" t="s">
        <v>326</v>
      </c>
      <c r="X29" s="79">
        <v>9.2799999999999994</v>
      </c>
    </row>
    <row r="30" spans="1:27" ht="21.75" customHeight="1" x14ac:dyDescent="0.25">
      <c r="W30" s="63" t="s">
        <v>996</v>
      </c>
      <c r="X30" s="79">
        <v>7</v>
      </c>
    </row>
    <row r="31" spans="1:27" ht="10.5" customHeight="1" x14ac:dyDescent="0.25">
      <c r="W31" s="354"/>
      <c r="X31" s="354"/>
    </row>
    <row r="32" spans="1:27" ht="30.75" customHeight="1" x14ac:dyDescent="0.25">
      <c r="W32" s="362" t="s">
        <v>997</v>
      </c>
      <c r="X32" s="362"/>
      <c r="Y32" s="362"/>
      <c r="Z32" s="362"/>
      <c r="AA32" s="59"/>
    </row>
    <row r="33" spans="23:27" ht="33" customHeight="1" x14ac:dyDescent="0.25">
      <c r="W33" s="63" t="s">
        <v>9</v>
      </c>
      <c r="X33" s="88">
        <f>X27*X28*X29*X30</f>
        <v>3865.12</v>
      </c>
    </row>
    <row r="34" spans="23:27" ht="21.75" customHeight="1" x14ac:dyDescent="0.25">
      <c r="W34" s="63" t="s">
        <v>998</v>
      </c>
      <c r="X34" s="355">
        <f>X27/8</f>
        <v>1.0625</v>
      </c>
    </row>
    <row r="35" spans="23:27" ht="21.75" customHeight="1" x14ac:dyDescent="0.25">
      <c r="W35" s="63" t="s">
        <v>999</v>
      </c>
      <c r="X35" s="88">
        <f>X27*X30</f>
        <v>59.5</v>
      </c>
    </row>
    <row r="36" spans="23:27" ht="21.75" customHeight="1" x14ac:dyDescent="0.25">
      <c r="W36" s="63" t="s">
        <v>990</v>
      </c>
      <c r="X36" s="88">
        <f>IF(_Calc_Backend!$U$5&gt;0,_Calc_Backend!$U$5,X27*X28*X30)</f>
        <v>336</v>
      </c>
    </row>
    <row r="37" spans="23:27" ht="21.75" customHeight="1" x14ac:dyDescent="0.25">
      <c r="W37" s="63" t="s">
        <v>246</v>
      </c>
      <c r="X37" s="88">
        <f>IF(_Calc_Backend!$U$5&gt;0,_Calc_Backend!$U$13,X33)</f>
        <v>17472</v>
      </c>
    </row>
    <row r="38" spans="23:27" ht="33" customHeight="1" x14ac:dyDescent="0.25">
      <c r="W38" s="63" t="s">
        <v>1000</v>
      </c>
      <c r="X38" s="88">
        <f>IFERROR(X37/Inputs!$B$5,0)</f>
        <v>12</v>
      </c>
    </row>
    <row r="39" spans="23:27" ht="21.75" customHeight="1" x14ac:dyDescent="0.25">
      <c r="W39" s="63" t="s">
        <v>1001</v>
      </c>
      <c r="X39" s="88">
        <f>IFERROR(X37/Inputs!$B$6,0)</f>
        <v>12</v>
      </c>
    </row>
    <row r="40" spans="23:27" ht="10.5" customHeight="1" x14ac:dyDescent="0.25"/>
    <row r="41" spans="23:27" ht="15.75" customHeight="1" x14ac:dyDescent="0.25">
      <c r="W41" s="362" t="s">
        <v>63</v>
      </c>
      <c r="X41" s="362"/>
      <c r="Y41" s="362"/>
      <c r="Z41" s="362"/>
      <c r="AA41" s="59"/>
    </row>
  </sheetData>
  <mergeCells count="10">
    <mergeCell ref="W24:AA24"/>
    <mergeCell ref="W25:AA25"/>
    <mergeCell ref="W26:Y26"/>
    <mergeCell ref="W32:Z32"/>
    <mergeCell ref="W41:Z41"/>
    <mergeCell ref="A1:S1"/>
    <mergeCell ref="T1:U1"/>
    <mergeCell ref="A2:S2"/>
    <mergeCell ref="T4:U4"/>
    <mergeCell ref="T11:U12"/>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35</vt:i4>
      </vt:variant>
      <vt:variant>
        <vt:lpstr>Named Ranges</vt:lpstr>
      </vt:variant>
      <vt:variant>
        <vt:i4>10</vt:i4>
      </vt:variant>
    </vt:vector>
  </HeadingPairs>
  <TitlesOfParts>
    <vt:vector size="45" baseType="lpstr">
      <vt:lpstr>Start_Here</vt:lpstr>
      <vt:lpstr>Buyer_Executive_Report</vt:lpstr>
      <vt:lpstr>Automation_Guide</vt:lpstr>
      <vt:lpstr>Inputs</vt:lpstr>
      <vt:lpstr>CFO_Bill_Rate_Breakdown</vt:lpstr>
      <vt:lpstr>Post_Positions</vt:lpstr>
      <vt:lpstr>Uniform_Equipment</vt:lpstr>
      <vt:lpstr>Vehicle</vt:lpstr>
      <vt:lpstr>Training_Module</vt:lpstr>
      <vt:lpstr>Equipment_Uniform_Module</vt:lpstr>
      <vt:lpstr>Workforce_Maintenance_Module</vt:lpstr>
      <vt:lpstr>Direct_Labor</vt:lpstr>
      <vt:lpstr>Appraisal_Full_Scope_Report</vt:lpstr>
      <vt:lpstr>Additional Cost</vt:lpstr>
      <vt:lpstr>Option Year</vt:lpstr>
      <vt:lpstr>CLIN Pricing</vt:lpstr>
      <vt:lpstr>Contract Value Waterfall</vt:lpstr>
      <vt:lpstr>Summary</vt:lpstr>
      <vt:lpstr>GASQ_Dashboard</vt:lpstr>
      <vt:lpstr>Contract_Summary</vt:lpstr>
      <vt:lpstr>Government_IGCE_Model</vt:lpstr>
      <vt:lpstr>Vendor_Pricing</vt:lpstr>
      <vt:lpstr>Security_Cost_Rating_Report</vt:lpstr>
      <vt:lpstr>Capital_Recovery_Receipt</vt:lpstr>
      <vt:lpstr>Vendor_Price_Evaluation</vt:lpstr>
      <vt:lpstr>Government_IGCE_Comparison</vt:lpstr>
      <vt:lpstr>Capital_Recovery_Dashboard</vt:lpstr>
      <vt:lpstr>Advanced_Dashboard</vt:lpstr>
      <vt:lpstr>Operations</vt:lpstr>
      <vt:lpstr>Government_TCO</vt:lpstr>
      <vt:lpstr>Overhead_GA</vt:lpstr>
      <vt:lpstr>Buyer_Vendor_Comparison</vt:lpstr>
      <vt:lpstr>Workforce_to_Post</vt:lpstr>
      <vt:lpstr>Contract_Summary_v2</vt:lpstr>
      <vt:lpstr>_Calc_Backend</vt:lpstr>
      <vt:lpstr>Appraisal_Full_Scope_Report!Print_Area</vt:lpstr>
      <vt:lpstr>Buyer_Executive_Report!Print_Area</vt:lpstr>
      <vt:lpstr>Direct_Labor!Print_Area</vt:lpstr>
      <vt:lpstr>Government_TCO!Print_Area</vt:lpstr>
      <vt:lpstr>Inputs!Print_Area</vt:lpstr>
      <vt:lpstr>Operations!Print_Area</vt:lpstr>
      <vt:lpstr>Overhead_GA!Print_Area</vt:lpstr>
      <vt:lpstr>Summary!Print_Area</vt:lpstr>
      <vt:lpstr>Vendor_Pricing!Print_Area</vt:lpstr>
      <vt:lpstr>Post_Positions!Print_Titles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Patricia Livingston</cp:lastModifiedBy>
  <dcterms:created xsi:type="dcterms:W3CDTF">2026-04-04T15:14:05Z</dcterms:created>
  <dcterms:modified xsi:type="dcterms:W3CDTF">2026-04-06T19:39:27Z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2026-04-04T10:39:33Z</dcterms:created>
  <dc:creator>openpyxl</dc:creator>
  <dc:description/>
  <dc:language>en-US</dc:language>
  <cp:lastModifiedBy>Patricia Livingston</cp:lastModifiedBy>
  <dcterms:modified xsi:type="dcterms:W3CDTF">2026-04-04T14:44:02Z</dcterms:modified>
  <cp:revision>0</cp:revision>
  <dc:subject/>
  <dc:title/>
</cp:coreProperties>
</file>