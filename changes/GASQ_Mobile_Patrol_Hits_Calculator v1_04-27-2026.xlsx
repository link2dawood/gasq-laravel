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rayling\Recovered data 09-28 19_12_15\Deep Scan result\Existing Partition(NTFS)\GASQ Launch Documents 2026\"/>
    </mc:Choice>
  </mc:AlternateContent>
  <xr:revisionPtr revIDLastSave="0" documentId="8_{45BD0B12-E726-44BE-9B79-CE1EE8112C33}" xr6:coauthVersionLast="47" xr6:coauthVersionMax="47" xr10:uidLastSave="{00000000-0000-0000-0000-000000000000}"/>
  <bookViews>
    <workbookView xWindow="-108" yWindow="-108" windowWidth="23256" windowHeight="13896" xr2:uid="{00000000-000D-0000-FFFF-FFFF00000000}"/>
  </bookViews>
  <sheets>
    <sheet name="INPUTS" sheetId="1" r:id="rId1"/>
    <sheet name="CALCULATIONS" sheetId="2" r:id="rId2"/>
    <sheet name="RESULTS DASHBOARD" sheetId="3" r:id="rId3"/>
    <sheet name="PDF REPORT" sheetId="4" r:id="rId4"/>
    <sheet name="WEEKLY CHECKS GUIDE" sheetId="5" r:id="rId5"/>
    <sheet name="SETTING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D4" i="4"/>
  <c r="B4" i="4"/>
  <c r="A4" i="4"/>
  <c r="B5" i="3"/>
  <c r="B3" i="3"/>
  <c r="B7" i="2"/>
  <c r="B19" i="3" s="1"/>
  <c r="B27" i="1"/>
  <c r="A17" i="4" s="1"/>
  <c r="B14" i="1"/>
  <c r="B19" i="1" s="1"/>
  <c r="B7" i="1"/>
  <c r="B6" i="3" s="1"/>
  <c r="B10" i="1" l="1"/>
  <c r="B2" i="2" s="1"/>
  <c r="B3" i="2" s="1"/>
  <c r="B28" i="1"/>
  <c r="B9" i="4" s="1"/>
  <c r="B29" i="1"/>
  <c r="B14" i="2" s="1"/>
  <c r="F6" i="3" s="1"/>
  <c r="C4" i="4"/>
  <c r="B8" i="4"/>
  <c r="B12" i="2"/>
  <c r="B13" i="2" l="1"/>
  <c r="B10" i="4"/>
  <c r="B8" i="3"/>
  <c r="B16" i="3"/>
  <c r="B5" i="2"/>
  <c r="B18" i="3" s="1"/>
  <c r="C18" i="3" s="1"/>
  <c r="B4" i="2"/>
  <c r="B17" i="3" s="1"/>
  <c r="C17" i="3" s="1"/>
  <c r="D6" i="3"/>
  <c r="B4" i="3"/>
  <c r="E6" i="3"/>
  <c r="B7" i="3"/>
  <c r="C19" i="3"/>
  <c r="C16" i="3"/>
  <c r="B6" i="2" l="1"/>
  <c r="B8" i="2" s="1"/>
  <c r="B9" i="2" s="1"/>
  <c r="B14" i="3" s="1"/>
  <c r="C14" i="3" s="1"/>
  <c r="E16" i="3"/>
  <c r="D16" i="3"/>
  <c r="E18" i="3"/>
  <c r="D18" i="3"/>
  <c r="E17" i="3"/>
  <c r="D17" i="3"/>
  <c r="D19" i="3"/>
  <c r="E19" i="3"/>
  <c r="B13" i="3" l="1"/>
  <c r="C13" i="3" s="1"/>
  <c r="E13" i="3" s="1"/>
  <c r="E14" i="3"/>
  <c r="D14" i="3"/>
  <c r="B10" i="2"/>
  <c r="B11" i="2" s="1"/>
  <c r="D13" i="3" l="1"/>
  <c r="B15" i="3"/>
  <c r="C15" i="3" s="1"/>
  <c r="B15" i="2"/>
  <c r="E4" i="4"/>
  <c r="B18" i="2"/>
  <c r="B19" i="2" s="1"/>
  <c r="B9" i="3"/>
  <c r="B14" i="4" l="1"/>
  <c r="B10" i="3"/>
  <c r="B30" i="1"/>
  <c r="B11" i="4" s="1"/>
  <c r="D4" i="3"/>
  <c r="B17" i="2"/>
  <c r="B16" i="2"/>
  <c r="D15" i="3"/>
  <c r="E15" i="3"/>
  <c r="E4" i="3" l="1"/>
  <c r="B31" i="1"/>
  <c r="B12" i="4" s="1"/>
  <c r="F4" i="3"/>
  <c r="F4" i="4"/>
  <c r="B32" i="1"/>
  <c r="B13" i="4" s="1"/>
</calcChain>
</file>

<file path=xl/sharedStrings.xml><?xml version="1.0" encoding="utf-8"?>
<sst xmlns="http://schemas.openxmlformats.org/spreadsheetml/2006/main" count="139" uniqueCount="99">
  <si>
    <t>GASQ MOBILE PATROL HIT SERVICE CALCULATOR</t>
  </si>
  <si>
    <t>Buyer / Site Inputs</t>
  </si>
  <si>
    <t>Site Name</t>
  </si>
  <si>
    <t>Demo Property</t>
  </si>
  <si>
    <t>Service Type</t>
  </si>
  <si>
    <t>Drive By Check</t>
  </si>
  <si>
    <t>Dropdown: Drive By Check, Park &amp; Walk Thru Check, Park &amp; Make Contact Check</t>
  </si>
  <si>
    <t>Weekly Checks</t>
  </si>
  <si>
    <t>Dropdown: 21, 28, 42, 56, 84</t>
  </si>
  <si>
    <t>Weeks Per Year</t>
  </si>
  <si>
    <t>Dropdown: 1–52 weeks</t>
  </si>
  <si>
    <t>Checks Per Day</t>
  </si>
  <si>
    <t>Auto from Weekly Checks</t>
  </si>
  <si>
    <t>Average Minutes On Site Per Check</t>
  </si>
  <si>
    <t>Average Travel / Dispatch Minutes Per Check</t>
  </si>
  <si>
    <t>Total Billable Minutes Per Check</t>
  </si>
  <si>
    <t>Auto</t>
  </si>
  <si>
    <t>Labor &amp; Operating Cost Inputs</t>
  </si>
  <si>
    <t>Officer Pay Rate Per Hour</t>
  </si>
  <si>
    <t>Payroll Burden %</t>
  </si>
  <si>
    <t>Fully Burdened Labor Rate</t>
  </si>
  <si>
    <t>Vehicle Cost Per Hour</t>
  </si>
  <si>
    <t>Fuel Cost Per Hour</t>
  </si>
  <si>
    <t>Equipment / Technology Cost Per Hour</t>
  </si>
  <si>
    <t>Supervision / Admin Cost Per Hour</t>
  </si>
  <si>
    <t>Total Operating Cost Per Hour</t>
  </si>
  <si>
    <t>Pricing Inputs</t>
  </si>
  <si>
    <t>Overhead %</t>
  </si>
  <si>
    <t>G&amp;A %</t>
  </si>
  <si>
    <t>Profit / Markup %</t>
  </si>
  <si>
    <t>Minimum Charge Per Check</t>
  </si>
  <si>
    <t>Add-On Cost Per Check</t>
  </si>
  <si>
    <t>Optional fixed add-on cost per patrol check</t>
  </si>
  <si>
    <t>Output Totals</t>
  </si>
  <si>
    <t>Total Weekly Checks</t>
  </si>
  <si>
    <t>Total Monthly Checks</t>
  </si>
  <si>
    <t>Auto based on weeks per year</t>
  </si>
  <si>
    <t>Total Annual Checks</t>
  </si>
  <si>
    <t>Total Weekly Cost</t>
  </si>
  <si>
    <t>Total Monthly Cost</t>
  </si>
  <si>
    <t>Total Annual Cost</t>
  </si>
  <si>
    <t>CALCULATION ENGINE</t>
  </si>
  <si>
    <t>Hours Per Check</t>
  </si>
  <si>
    <t>Base Cost Per Check</t>
  </si>
  <si>
    <t>Overhead Amount Per Check</t>
  </si>
  <si>
    <t>G&amp;A Amount Per Check</t>
  </si>
  <si>
    <t>Subtotal Cost Per Check</t>
  </si>
  <si>
    <t>Pre-Markup Cost Per Check</t>
  </si>
  <si>
    <t>Profit Amount Per Check</t>
  </si>
  <si>
    <t>Calculated Sell Price Per Check</t>
  </si>
  <si>
    <t>Final Sell Price Per Check</t>
  </si>
  <si>
    <t>Gross Profit Per Check</t>
  </si>
  <si>
    <t>Profit Margin %</t>
  </si>
  <si>
    <t>GASQ MOBILE PATROL PRICING DASHBOARD</t>
  </si>
  <si>
    <t>Final Price Per Check</t>
  </si>
  <si>
    <t>Profit Margin</t>
  </si>
  <si>
    <t>Cost Category</t>
  </si>
  <si>
    <t>Per Check</t>
  </si>
  <si>
    <t>Weekly</t>
  </si>
  <si>
    <t>Monthly</t>
  </si>
  <si>
    <t>Annual</t>
  </si>
  <si>
    <t>Notes</t>
  </si>
  <si>
    <t>Pre-Markup Cost</t>
  </si>
  <si>
    <t>Cost before profit</t>
  </si>
  <si>
    <t>Profit Amount</t>
  </si>
  <si>
    <t>Target profit</t>
  </si>
  <si>
    <t>Final Sell Price</t>
  </si>
  <si>
    <t>Client-facing price</t>
  </si>
  <si>
    <t>Base Cost</t>
  </si>
  <si>
    <t>Labor + operating cost</t>
  </si>
  <si>
    <t>Overhead</t>
  </si>
  <si>
    <t>Overhead allocation</t>
  </si>
  <si>
    <t>G&amp;A</t>
  </si>
  <si>
    <t>G&amp;A allocation</t>
  </si>
  <si>
    <t>Add-Ons</t>
  </si>
  <si>
    <t>Optional services</t>
  </si>
  <si>
    <t>GASQ MOBILE PATROL HIT SERVICE PDF REPORT</t>
  </si>
  <si>
    <t>Client / Site</t>
  </si>
  <si>
    <t>Price Per Check</t>
  </si>
  <si>
    <t>Annual Cost</t>
  </si>
  <si>
    <t>Pricing Summary</t>
  </si>
  <si>
    <t>Executive Narrative</t>
  </si>
  <si>
    <t>Created in collaboration with the GASQ AI Team</t>
  </si>
  <si>
    <t>WEEKLY CHECK DEFINITIONS</t>
  </si>
  <si>
    <t>Frequency</t>
  </si>
  <si>
    <t>Plain-English Definition</t>
  </si>
  <si>
    <t>Every 8 hours</t>
  </si>
  <si>
    <t>3 checks per day or 1 check per 8-hour shift; 7 days per week</t>
  </si>
  <si>
    <t>Every 6 hours</t>
  </si>
  <si>
    <t>4 checks per day; 7 days per week</t>
  </si>
  <si>
    <t>Every 4 hours</t>
  </si>
  <si>
    <t>6 checks per day or 2 checks per 8-hour shift; 7 days per week</t>
  </si>
  <si>
    <t>Every 3 hours</t>
  </si>
  <si>
    <t>8 checks per day; 7 days per week</t>
  </si>
  <si>
    <t>Every 2 hours</t>
  </si>
  <si>
    <t>12 checks per day or 4 checks per 8-hour shift; 7 days per week</t>
  </si>
  <si>
    <t>GASQ MOBILE PATROL SETTINGS</t>
  </si>
  <si>
    <t>Park &amp; Walk Thru Check</t>
  </si>
  <si>
    <t>Park &amp; Make Contact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</si>
</sst>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font>
      <sz val="11"/>
      <name val="Carlito"/>
    </font>
    <font>
      <b/>
      <sz val="16"/>
      <color rgb="FFFFFFFF"/>
      <name val="Aptos"/>
    </font>
    <font>
      <b/>
      <sz val="11"/>
      <color rgb="FFFFFFFF"/>
      <name val="Aptos"/>
    </font>
    <font>
      <b/>
      <sz val="10"/>
      <color rgb="FF111827"/>
      <name val="Aptos"/>
    </font>
    <font>
      <sz val="10"/>
      <name val="Aptos"/>
    </font>
    <font>
      <b/>
      <sz val="10"/>
      <color rgb="FFFFFFFF"/>
      <name val="Aptos"/>
    </font>
    <font>
      <b/>
      <sz val="10"/>
      <name val="Aptos"/>
    </font>
    <font>
      <sz val="11"/>
      <name val="Aptos"/>
    </font>
    <font>
      <b/>
      <sz val="14"/>
      <color rgb="FFFFFFFF"/>
      <name val="Aptos"/>
    </font>
    <font>
      <b/>
      <sz val="11"/>
      <name val="Aptos"/>
    </font>
    <font>
      <b/>
      <sz val="13"/>
      <name val="Aptos"/>
    </font>
    <font>
      <b/>
      <sz val="12"/>
      <name val="Aptos"/>
    </font>
    <font>
      <b/>
      <sz val="10"/>
      <color rgb="FF000000"/>
      <name val="Aptos"/>
    </font>
    <font>
      <i/>
      <sz val="10"/>
      <color rgb="FF666666"/>
      <name val="Aptos"/>
    </font>
    <font>
      <sz val="11"/>
      <name val="Carlito"/>
    </font>
    <font>
      <b/>
      <sz val="10"/>
      <color theme="0"/>
      <name val="Aptos"/>
      <family val="2"/>
    </font>
  </fonts>
  <fills count="12">
    <fill>
      <patternFill patternType="none"/>
    </fill>
    <fill>
      <patternFill patternType="gray125"/>
    </fill>
    <fill>
      <patternFill patternType="solid">
        <fgColor rgb="FF7A1E2C"/>
      </patternFill>
    </fill>
    <fill>
      <patternFill patternType="solid">
        <fgColor rgb="FF2F3437"/>
      </patternFill>
    </fill>
    <fill>
      <patternFill patternType="solid">
        <fgColor rgb="FFF3F4F6"/>
      </patternFill>
    </fill>
    <fill>
      <patternFill patternType="solid">
        <fgColor rgb="FFFFFFFF"/>
      </patternFill>
    </fill>
    <fill>
      <patternFill patternType="solid">
        <fgColor rgb="FFFAFAFA"/>
      </patternFill>
    </fill>
    <fill>
      <patternFill patternType="solid">
        <fgColor rgb="FFFFF7E0"/>
      </patternFill>
    </fill>
    <fill>
      <patternFill patternType="solid">
        <fgColor rgb="FFF8FAFC"/>
      </patternFill>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8">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s>
  <cellStyleXfs count="2">
    <xf numFmtId="0" fontId="0" fillId="0" borderId="0"/>
    <xf numFmtId="9" fontId="14" fillId="0" borderId="0" applyFont="0" applyFill="0" applyBorder="0" applyAlignment="0" applyProtection="0"/>
  </cellStyleXfs>
  <cellXfs count="51">
    <xf numFmtId="0" fontId="0" fillId="0" borderId="0" xfId="0"/>
    <xf numFmtId="0" fontId="1" fillId="2" borderId="0" xfId="0" applyFont="1" applyFill="1" applyAlignment="1">
      <alignment horizontal="center"/>
    </xf>
    <xf numFmtId="0" fontId="2" fillId="3" borderId="0" xfId="0" applyFont="1" applyFill="1" applyAlignment="1">
      <alignment horizontal="left"/>
    </xf>
    <xf numFmtId="0" fontId="3" fillId="4" borderId="1" xfId="0" applyFont="1" applyFill="1" applyBorder="1" applyAlignment="1">
      <alignment wrapText="1"/>
    </xf>
    <xf numFmtId="0" fontId="4" fillId="5" borderId="1" xfId="0" applyFont="1" applyFill="1" applyBorder="1" applyAlignment="1">
      <alignment wrapText="1"/>
    </xf>
    <xf numFmtId="0" fontId="4" fillId="6" borderId="1" xfId="0" applyFont="1" applyFill="1" applyBorder="1" applyAlignment="1">
      <alignment wrapText="1"/>
    </xf>
    <xf numFmtId="164" fontId="4" fillId="5" borderId="1" xfId="0" applyNumberFormat="1"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164" fontId="6" fillId="7" borderId="1" xfId="0" applyNumberFormat="1" applyFont="1" applyFill="1" applyBorder="1" applyAlignment="1">
      <alignment wrapText="1"/>
    </xf>
    <xf numFmtId="0" fontId="1" fillId="2" borderId="0" xfId="0" applyFont="1" applyFill="1" applyAlignment="1">
      <alignment horizontal="center" wrapText="1"/>
    </xf>
    <xf numFmtId="0" fontId="7" fillId="0" borderId="0" xfId="0" applyFont="1"/>
    <xf numFmtId="0" fontId="2" fillId="3"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xf numFmtId="0" fontId="8" fillId="2" borderId="0" xfId="0" applyFont="1" applyFill="1" applyAlignment="1">
      <alignment horizontal="center"/>
    </xf>
    <xf numFmtId="0" fontId="5" fillId="3" borderId="1" xfId="0" applyFont="1" applyFill="1" applyBorder="1"/>
    <xf numFmtId="0" fontId="4" fillId="0" borderId="1" xfId="0" applyFont="1" applyBorder="1"/>
    <xf numFmtId="0" fontId="6" fillId="4" borderId="1" xfId="0" applyFont="1" applyFill="1" applyBorder="1"/>
    <xf numFmtId="164" fontId="4" fillId="0" borderId="1" xfId="0" applyNumberFormat="1" applyFont="1" applyBorder="1"/>
    <xf numFmtId="2" fontId="4" fillId="0" borderId="1" xfId="0" applyNumberFormat="1" applyFont="1" applyBorder="1"/>
    <xf numFmtId="0" fontId="9" fillId="4" borderId="1" xfId="0" applyFont="1" applyFill="1" applyBorder="1"/>
    <xf numFmtId="0" fontId="2" fillId="3" borderId="0" xfId="0" applyFont="1" applyFill="1" applyAlignment="1">
      <alignment horizontal="center"/>
    </xf>
    <xf numFmtId="164" fontId="10" fillId="7" borderId="1" xfId="0" applyNumberFormat="1" applyFont="1" applyFill="1" applyBorder="1" applyAlignment="1">
      <alignment horizontal="center"/>
    </xf>
    <xf numFmtId="164" fontId="7" fillId="0" borderId="1" xfId="0" applyNumberFormat="1" applyFont="1" applyBorder="1"/>
    <xf numFmtId="0" fontId="2" fillId="2" borderId="0" xfId="0" applyFont="1" applyFill="1" applyAlignment="1">
      <alignment horizontal="center"/>
    </xf>
    <xf numFmtId="164" fontId="7" fillId="0" borderId="1" xfId="0" applyNumberFormat="1" applyFont="1" applyBorder="1" applyAlignment="1">
      <alignment horizontal="center"/>
    </xf>
    <xf numFmtId="0" fontId="2" fillId="2" borderId="0" xfId="0" applyFont="1" applyFill="1" applyAlignment="1">
      <alignment horizontal="left"/>
    </xf>
    <xf numFmtId="0" fontId="2" fillId="3" borderId="0" xfId="0" applyFont="1" applyFill="1"/>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7" fillId="0" borderId="7" xfId="0" applyFont="1" applyBorder="1" applyAlignment="1">
      <alignment wrapText="1"/>
    </xf>
    <xf numFmtId="0" fontId="13" fillId="6" borderId="1" xfId="0" applyFont="1" applyFill="1" applyBorder="1" applyAlignment="1">
      <alignment wrapText="1"/>
    </xf>
    <xf numFmtId="9" fontId="4" fillId="0" borderId="1" xfId="1" applyFont="1" applyBorder="1"/>
    <xf numFmtId="1" fontId="11" fillId="8" borderId="1" xfId="0" applyNumberFormat="1" applyFont="1" applyFill="1" applyBorder="1" applyAlignment="1">
      <alignment horizontal="center"/>
    </xf>
    <xf numFmtId="9" fontId="7" fillId="0" borderId="1" xfId="0" applyNumberFormat="1" applyFont="1" applyBorder="1"/>
    <xf numFmtId="10" fontId="4" fillId="9" borderId="1" xfId="0" applyNumberFormat="1" applyFont="1" applyFill="1" applyBorder="1" applyAlignment="1">
      <alignment wrapText="1"/>
    </xf>
    <xf numFmtId="164" fontId="4" fillId="9" borderId="1" xfId="0" applyNumberFormat="1" applyFont="1" applyFill="1" applyBorder="1" applyAlignment="1">
      <alignment wrapText="1"/>
    </xf>
    <xf numFmtId="0" fontId="12" fillId="9" borderId="1" xfId="0" applyFont="1" applyFill="1" applyBorder="1" applyAlignment="1">
      <alignment wrapText="1"/>
    </xf>
    <xf numFmtId="1" fontId="12" fillId="9" borderId="1" xfId="0" applyNumberFormat="1" applyFont="1" applyFill="1" applyBorder="1" applyAlignment="1">
      <alignment wrapText="1"/>
    </xf>
    <xf numFmtId="0" fontId="4" fillId="9" borderId="1" xfId="0" applyFont="1" applyFill="1" applyBorder="1" applyAlignment="1">
      <alignment wrapText="1"/>
    </xf>
    <xf numFmtId="0" fontId="4" fillId="10" borderId="1" xfId="0" applyFont="1" applyFill="1" applyBorder="1" applyAlignment="1">
      <alignment wrapText="1"/>
    </xf>
    <xf numFmtId="1" fontId="7" fillId="0" borderId="1" xfId="0" applyNumberFormat="1" applyFont="1" applyBorder="1"/>
    <xf numFmtId="1" fontId="6" fillId="7" borderId="1" xfId="0" applyNumberFormat="1" applyFont="1" applyFill="1" applyBorder="1" applyAlignment="1">
      <alignment wrapText="1"/>
    </xf>
    <xf numFmtId="0" fontId="5" fillId="11" borderId="1" xfId="0" applyFont="1" applyFill="1" applyBorder="1" applyAlignment="1">
      <alignment horizontal="left" wrapText="1"/>
    </xf>
    <xf numFmtId="0" fontId="15" fillId="11" borderId="1" xfId="0" applyFont="1" applyFill="1" applyBorder="1" applyAlignment="1">
      <alignment horizontal="left" wrapText="1"/>
    </xf>
    <xf numFmtId="9" fontId="4" fillId="9" borderId="1" xfId="0" applyNumberFormat="1" applyFont="1" applyFill="1" applyBorder="1" applyAlignment="1">
      <alignment wrapText="1"/>
    </xf>
    <xf numFmtId="0" fontId="1" fillId="2"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workbookViewId="0">
      <selection activeCell="E11" sqref="E11"/>
    </sheetView>
  </sheetViews>
  <sheetFormatPr defaultRowHeight="13.8"/>
  <cols>
    <col min="1" max="1" width="36" customWidth="1"/>
    <col min="2" max="2" width="24" customWidth="1"/>
    <col min="3" max="3" width="55" customWidth="1"/>
  </cols>
  <sheetData>
    <row r="1" spans="1:3" ht="15.6" customHeight="1">
      <c r="A1" s="50" t="s">
        <v>0</v>
      </c>
      <c r="B1" s="1"/>
      <c r="C1" s="1"/>
    </row>
    <row r="2" spans="1:3" ht="14.4">
      <c r="A2" s="2" t="s">
        <v>1</v>
      </c>
      <c r="B2" s="2"/>
      <c r="C2" s="2"/>
    </row>
    <row r="3" spans="1:3" ht="14.4">
      <c r="A3" s="3" t="s">
        <v>2</v>
      </c>
      <c r="B3" s="4" t="s">
        <v>3</v>
      </c>
      <c r="C3" s="5"/>
    </row>
    <row r="4" spans="1:3" ht="27.6">
      <c r="A4" s="3" t="s">
        <v>4</v>
      </c>
      <c r="B4" s="41" t="s">
        <v>97</v>
      </c>
      <c r="C4" s="35" t="s">
        <v>6</v>
      </c>
    </row>
    <row r="5" spans="1:3" ht="12" customHeight="1">
      <c r="A5" s="3" t="s">
        <v>7</v>
      </c>
      <c r="B5" s="42">
        <v>84</v>
      </c>
      <c r="C5" s="35" t="s">
        <v>8</v>
      </c>
    </row>
    <row r="6" spans="1:3" ht="12" customHeight="1">
      <c r="A6" s="3" t="s">
        <v>9</v>
      </c>
      <c r="B6" s="42">
        <v>52</v>
      </c>
      <c r="C6" s="35" t="s">
        <v>10</v>
      </c>
    </row>
    <row r="7" spans="1:3" ht="12" customHeight="1">
      <c r="A7" s="3" t="s">
        <v>11</v>
      </c>
      <c r="B7" s="44">
        <f>B5/7</f>
        <v>12</v>
      </c>
      <c r="C7" s="5" t="s">
        <v>12</v>
      </c>
    </row>
    <row r="8" spans="1:3" ht="12" customHeight="1">
      <c r="A8" s="3" t="s">
        <v>13</v>
      </c>
      <c r="B8" s="43">
        <v>15</v>
      </c>
      <c r="C8" s="5"/>
    </row>
    <row r="9" spans="1:3" ht="12" customHeight="1">
      <c r="A9" s="3" t="s">
        <v>14</v>
      </c>
      <c r="B9" s="43">
        <v>10</v>
      </c>
      <c r="C9" s="5"/>
    </row>
    <row r="10" spans="1:3" ht="12" customHeight="1">
      <c r="A10" s="3" t="s">
        <v>15</v>
      </c>
      <c r="B10" s="4">
        <f>B8+B9</f>
        <v>25</v>
      </c>
      <c r="C10" s="5" t="s">
        <v>16</v>
      </c>
    </row>
    <row r="11" spans="1:3" ht="12" customHeight="1">
      <c r="A11" s="48" t="s">
        <v>17</v>
      </c>
      <c r="B11" s="48"/>
      <c r="C11" s="48"/>
    </row>
    <row r="12" spans="1:3" ht="12" customHeight="1">
      <c r="A12" s="3" t="s">
        <v>18</v>
      </c>
      <c r="B12" s="40">
        <v>25</v>
      </c>
      <c r="C12" s="5"/>
    </row>
    <row r="13" spans="1:3" ht="12" customHeight="1">
      <c r="A13" s="3" t="s">
        <v>19</v>
      </c>
      <c r="B13" s="49">
        <v>0.3</v>
      </c>
      <c r="C13" s="5"/>
    </row>
    <row r="14" spans="1:3" ht="12" customHeight="1">
      <c r="A14" s="3" t="s">
        <v>20</v>
      </c>
      <c r="B14" s="6">
        <f>B12*(1+B13)</f>
        <v>32.5</v>
      </c>
      <c r="C14" s="5" t="s">
        <v>16</v>
      </c>
    </row>
    <row r="15" spans="1:3" ht="12" customHeight="1">
      <c r="A15" s="3" t="s">
        <v>21</v>
      </c>
      <c r="B15" s="40">
        <v>6.5</v>
      </c>
      <c r="C15" s="5"/>
    </row>
    <row r="16" spans="1:3" ht="12" customHeight="1">
      <c r="A16" s="3" t="s">
        <v>22</v>
      </c>
      <c r="B16" s="40">
        <v>2.25</v>
      </c>
      <c r="C16" s="5"/>
    </row>
    <row r="17" spans="1:3" ht="12" customHeight="1">
      <c r="A17" s="3" t="s">
        <v>23</v>
      </c>
      <c r="B17" s="40">
        <v>1.75</v>
      </c>
      <c r="C17" s="5"/>
    </row>
    <row r="18" spans="1:3" ht="12" customHeight="1">
      <c r="A18" s="3" t="s">
        <v>24</v>
      </c>
      <c r="B18" s="40">
        <v>4</v>
      </c>
      <c r="C18" s="5"/>
    </row>
    <row r="19" spans="1:3" ht="12" customHeight="1">
      <c r="A19" s="3" t="s">
        <v>25</v>
      </c>
      <c r="B19" s="6">
        <f>SUM(B14:B18)</f>
        <v>47</v>
      </c>
      <c r="C19" s="5" t="s">
        <v>16</v>
      </c>
    </row>
    <row r="20" spans="1:3" ht="12" customHeight="1">
      <c r="A20" s="48" t="s">
        <v>26</v>
      </c>
      <c r="B20" s="47"/>
      <c r="C20" s="47"/>
    </row>
    <row r="21" spans="1:3" ht="12" customHeight="1">
      <c r="A21" s="3" t="s">
        <v>27</v>
      </c>
      <c r="B21" s="39">
        <v>0.1</v>
      </c>
      <c r="C21" s="5"/>
    </row>
    <row r="22" spans="1:3" ht="12" customHeight="1">
      <c r="A22" s="3" t="s">
        <v>28</v>
      </c>
      <c r="B22" s="39">
        <v>0.1</v>
      </c>
      <c r="C22" s="5"/>
    </row>
    <row r="23" spans="1:3" ht="12" customHeight="1">
      <c r="A23" s="3" t="s">
        <v>29</v>
      </c>
      <c r="B23" s="39">
        <v>0.1</v>
      </c>
      <c r="C23" s="5"/>
    </row>
    <row r="24" spans="1:3" ht="12" customHeight="1">
      <c r="A24" s="3" t="s">
        <v>30</v>
      </c>
      <c r="B24" s="40">
        <v>23</v>
      </c>
      <c r="C24" s="5"/>
    </row>
    <row r="25" spans="1:3" ht="12" customHeight="1">
      <c r="A25" s="3" t="s">
        <v>31</v>
      </c>
      <c r="B25" s="40">
        <v>0</v>
      </c>
      <c r="C25" s="5" t="s">
        <v>32</v>
      </c>
    </row>
    <row r="26" spans="1:3" ht="12" customHeight="1">
      <c r="A26" s="48" t="s">
        <v>33</v>
      </c>
      <c r="B26" s="48"/>
      <c r="C26" s="48"/>
    </row>
    <row r="27" spans="1:3" ht="12" customHeight="1">
      <c r="A27" s="7" t="s">
        <v>34</v>
      </c>
      <c r="B27" s="8">
        <f>B5</f>
        <v>84</v>
      </c>
      <c r="C27" s="5" t="s">
        <v>16</v>
      </c>
    </row>
    <row r="28" spans="1:3" ht="12" customHeight="1">
      <c r="A28" s="7" t="s">
        <v>35</v>
      </c>
      <c r="B28" s="46">
        <f>B27*B6/12</f>
        <v>364</v>
      </c>
      <c r="C28" s="5" t="s">
        <v>36</v>
      </c>
    </row>
    <row r="29" spans="1:3" ht="12" customHeight="1">
      <c r="A29" s="7" t="s">
        <v>37</v>
      </c>
      <c r="B29" s="46">
        <f>B27*B6</f>
        <v>4368</v>
      </c>
      <c r="C29" s="5" t="s">
        <v>36</v>
      </c>
    </row>
    <row r="30" spans="1:3" ht="12" customHeight="1">
      <c r="A30" s="7" t="s">
        <v>38</v>
      </c>
      <c r="B30" s="9">
        <f>CALCULATIONS!B15</f>
        <v>2171.4</v>
      </c>
      <c r="C30" s="5" t="s">
        <v>16</v>
      </c>
    </row>
    <row r="31" spans="1:3" ht="12" customHeight="1">
      <c r="A31" s="7" t="s">
        <v>39</v>
      </c>
      <c r="B31" s="9">
        <f>CALCULATIONS!B16</f>
        <v>9409.4</v>
      </c>
      <c r="C31" s="5" t="s">
        <v>36</v>
      </c>
    </row>
    <row r="32" spans="1:3" ht="12" customHeight="1">
      <c r="A32" s="7" t="s">
        <v>40</v>
      </c>
      <c r="B32" s="9">
        <f>CALCULATIONS!B17</f>
        <v>112912.8</v>
      </c>
      <c r="C32" s="5" t="s">
        <v>36</v>
      </c>
    </row>
  </sheetData>
  <dataValidations count="3">
    <dataValidation type="list" sqref="B4" xr:uid="{00000000-0002-0000-0000-000000000000}">
      <formula1>"Drive By Check,Park &amp; Walk Thru Check,Park &amp; Make Contact Check"</formula1>
    </dataValidation>
    <dataValidation type="list" sqref="B5" xr:uid="{00000000-0002-0000-0000-000001000000}">
      <formula1>"21,28,42,56,84"</formula1>
    </dataValidation>
    <dataValidation type="list" sqref="B6" xr:uid="{00000000-0002-0000-0000-000002000000}">
      <formula1>"1,2,3,4,5,6,7,8,9,10,11,12,13,14,15,16,17,18,19,20,21,22,23,24,25,26,27,28,29,30,31,32,33,34,35,36,37,38,39,40,41,42,43,44,45,46,47,48,49,50,51,52"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election activeCell="D28" sqref="D28"/>
    </sheetView>
  </sheetViews>
  <sheetFormatPr defaultRowHeight="13.8"/>
  <cols>
    <col min="1" max="1" width="32" customWidth="1"/>
    <col min="2" max="2" width="20" customWidth="1"/>
  </cols>
  <sheetData>
    <row r="1" spans="1:2" ht="13.65" customHeight="1">
      <c r="A1" s="15" t="s">
        <v>41</v>
      </c>
      <c r="B1" s="15"/>
    </row>
    <row r="2" spans="1:2" ht="12" customHeight="1">
      <c r="A2" s="18" t="s">
        <v>42</v>
      </c>
      <c r="B2" s="19">
        <f>INPUTS!B10/60</f>
        <v>0.41666666666666669</v>
      </c>
    </row>
    <row r="3" spans="1:2" ht="12" customHeight="1">
      <c r="A3" s="18" t="s">
        <v>43</v>
      </c>
      <c r="B3" s="19">
        <f>B2*INPUTS!B19</f>
        <v>19.583333333333336</v>
      </c>
    </row>
    <row r="4" spans="1:2" ht="12" customHeight="1">
      <c r="A4" s="18" t="s">
        <v>44</v>
      </c>
      <c r="B4" s="19">
        <f>B3*INPUTS!B21</f>
        <v>1.9583333333333337</v>
      </c>
    </row>
    <row r="5" spans="1:2" ht="12" customHeight="1">
      <c r="A5" s="18" t="s">
        <v>45</v>
      </c>
      <c r="B5" s="19">
        <f>B3*INPUTS!B22</f>
        <v>1.9583333333333337</v>
      </c>
    </row>
    <row r="6" spans="1:2" ht="12" customHeight="1">
      <c r="A6" s="18" t="s">
        <v>46</v>
      </c>
      <c r="B6" s="19">
        <f>B3+B4+B5</f>
        <v>23.5</v>
      </c>
    </row>
    <row r="7" spans="1:2" ht="12" customHeight="1">
      <c r="A7" s="18" t="s">
        <v>31</v>
      </c>
      <c r="B7" s="19">
        <f>INPUTS!B25</f>
        <v>0</v>
      </c>
    </row>
    <row r="8" spans="1:2" ht="12" customHeight="1">
      <c r="A8" s="18" t="s">
        <v>47</v>
      </c>
      <c r="B8" s="19">
        <f>B6+B7</f>
        <v>23.5</v>
      </c>
    </row>
    <row r="9" spans="1:2" ht="12" customHeight="1">
      <c r="A9" s="18" t="s">
        <v>48</v>
      </c>
      <c r="B9" s="19">
        <f>B8*INPUTS!B23</f>
        <v>2.35</v>
      </c>
    </row>
    <row r="10" spans="1:2" ht="12" customHeight="1">
      <c r="A10" s="18" t="s">
        <v>49</v>
      </c>
      <c r="B10" s="19">
        <f>B8+B9</f>
        <v>25.85</v>
      </c>
    </row>
    <row r="11" spans="1:2" ht="12" customHeight="1">
      <c r="A11" s="18" t="s">
        <v>50</v>
      </c>
      <c r="B11" s="19">
        <f>MAX(B10,INPUTS!B24)</f>
        <v>25.85</v>
      </c>
    </row>
    <row r="12" spans="1:2" ht="12" customHeight="1">
      <c r="A12" s="18" t="s">
        <v>34</v>
      </c>
      <c r="B12" s="20">
        <f>INPUTS!B27</f>
        <v>84</v>
      </c>
    </row>
    <row r="13" spans="1:2" ht="12" customHeight="1">
      <c r="A13" s="18" t="s">
        <v>35</v>
      </c>
      <c r="B13" s="20">
        <f>INPUTS!B28</f>
        <v>364</v>
      </c>
    </row>
    <row r="14" spans="1:2" ht="12" customHeight="1">
      <c r="A14" s="18" t="s">
        <v>37</v>
      </c>
      <c r="B14" s="19">
        <f>INPUTS!B29</f>
        <v>4368</v>
      </c>
    </row>
    <row r="15" spans="1:2" ht="12" customHeight="1">
      <c r="A15" s="18" t="s">
        <v>38</v>
      </c>
      <c r="B15" s="19">
        <f>B11*B12</f>
        <v>2171.4</v>
      </c>
    </row>
    <row r="16" spans="1:2" ht="12" customHeight="1">
      <c r="A16" s="18" t="s">
        <v>39</v>
      </c>
      <c r="B16" s="19">
        <f>B15*INPUTS!B6/12</f>
        <v>9409.4</v>
      </c>
    </row>
    <row r="17" spans="1:2" ht="12" customHeight="1">
      <c r="A17" s="18" t="s">
        <v>40</v>
      </c>
      <c r="B17" s="19">
        <f>B15*INPUTS!B6</f>
        <v>112912.8</v>
      </c>
    </row>
    <row r="18" spans="1:2" ht="12" customHeight="1">
      <c r="A18" s="18" t="s">
        <v>51</v>
      </c>
      <c r="B18" s="19">
        <f>B11-B8</f>
        <v>2.3500000000000014</v>
      </c>
    </row>
    <row r="19" spans="1:2" ht="12" customHeight="1">
      <c r="A19" s="18" t="s">
        <v>52</v>
      </c>
      <c r="B19" s="36">
        <f>IFERROR(B18/B11,0)</f>
        <v>9.0909090909090953E-2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selection activeCell="F28" sqref="F28"/>
    </sheetView>
  </sheetViews>
  <sheetFormatPr defaultRowHeight="13.8"/>
  <cols>
    <col min="1" max="1" width="24" customWidth="1"/>
    <col min="2" max="2" width="18" customWidth="1"/>
    <col min="3" max="3" width="14" customWidth="1"/>
    <col min="4" max="6" width="18" customWidth="1"/>
  </cols>
  <sheetData>
    <row r="1" spans="1:6" ht="15.6" customHeight="1">
      <c r="A1" s="1" t="s">
        <v>53</v>
      </c>
      <c r="B1" s="1"/>
      <c r="C1" s="1"/>
      <c r="D1" s="1"/>
      <c r="E1" s="1"/>
      <c r="F1" s="1"/>
    </row>
    <row r="2" spans="1:6" ht="12" customHeight="1">
      <c r="A2" s="11"/>
      <c r="B2" s="11"/>
      <c r="C2" s="11"/>
      <c r="D2" s="11"/>
      <c r="E2" s="11"/>
      <c r="F2" s="11"/>
    </row>
    <row r="3" spans="1:6" ht="12" customHeight="1">
      <c r="A3" s="21" t="s">
        <v>4</v>
      </c>
      <c r="B3" s="14" t="str">
        <f>INPUTS!B4</f>
        <v>Park &amp; Walk Thru Check</v>
      </c>
      <c r="C3" s="11"/>
      <c r="D3" s="22" t="s">
        <v>38</v>
      </c>
      <c r="E3" s="22" t="s">
        <v>39</v>
      </c>
      <c r="F3" s="22" t="s">
        <v>40</v>
      </c>
    </row>
    <row r="4" spans="1:6" ht="12.75" customHeight="1">
      <c r="A4" s="21" t="s">
        <v>7</v>
      </c>
      <c r="B4" s="14">
        <f>CALCULATIONS!B12</f>
        <v>84</v>
      </c>
      <c r="C4" s="11"/>
      <c r="D4" s="23">
        <f>CALCULATIONS!B15</f>
        <v>2171.4</v>
      </c>
      <c r="E4" s="23">
        <f>CALCULATIONS!B16</f>
        <v>9409.4</v>
      </c>
      <c r="F4" s="23">
        <f>CALCULATIONS!B17</f>
        <v>112912.8</v>
      </c>
    </row>
    <row r="5" spans="1:6" ht="12" customHeight="1">
      <c r="A5" s="21" t="s">
        <v>9</v>
      </c>
      <c r="B5" s="14">
        <f>INPUTS!B6</f>
        <v>52</v>
      </c>
      <c r="C5" s="11"/>
      <c r="D5" s="22" t="s">
        <v>34</v>
      </c>
      <c r="E5" s="22" t="s">
        <v>35</v>
      </c>
      <c r="F5" s="22" t="s">
        <v>37</v>
      </c>
    </row>
    <row r="6" spans="1:6" ht="12" customHeight="1">
      <c r="A6" s="21" t="s">
        <v>11</v>
      </c>
      <c r="B6" s="14">
        <f>INPUTS!B7</f>
        <v>12</v>
      </c>
      <c r="C6" s="11"/>
      <c r="D6" s="37">
        <f>CALCULATIONS!B12</f>
        <v>84</v>
      </c>
      <c r="E6" s="37">
        <f>CALCULATIONS!B13</f>
        <v>364</v>
      </c>
      <c r="F6" s="37">
        <f>CALCULATIONS!B14</f>
        <v>4368</v>
      </c>
    </row>
    <row r="7" spans="1:6" ht="12" customHeight="1">
      <c r="A7" s="21" t="s">
        <v>35</v>
      </c>
      <c r="B7" s="24">
        <f>CALCULATIONS!B13</f>
        <v>364</v>
      </c>
      <c r="C7" s="11"/>
      <c r="D7" s="11"/>
      <c r="E7" s="11"/>
      <c r="F7" s="11"/>
    </row>
    <row r="8" spans="1:6" ht="12" customHeight="1">
      <c r="A8" s="21" t="s">
        <v>37</v>
      </c>
      <c r="B8" s="24">
        <f>CALCULATIONS!B14</f>
        <v>4368</v>
      </c>
      <c r="C8" s="11"/>
      <c r="D8" s="11"/>
      <c r="E8" s="11"/>
      <c r="F8" s="11"/>
    </row>
    <row r="9" spans="1:6" ht="12" customHeight="1">
      <c r="A9" s="21" t="s">
        <v>54</v>
      </c>
      <c r="B9" s="24">
        <f>CALCULATIONS!B11</f>
        <v>25.85</v>
      </c>
      <c r="C9" s="11"/>
      <c r="D9" s="11"/>
      <c r="E9" s="11"/>
      <c r="F9" s="11"/>
    </row>
    <row r="10" spans="1:6" ht="12" customHeight="1">
      <c r="A10" s="21" t="s">
        <v>55</v>
      </c>
      <c r="B10" s="38">
        <f>CALCULATIONS!B19</f>
        <v>9.0909090909090953E-2</v>
      </c>
      <c r="C10" s="11"/>
      <c r="D10" s="11"/>
      <c r="E10" s="11"/>
      <c r="F10" s="11"/>
    </row>
    <row r="11" spans="1:6" ht="12" customHeight="1">
      <c r="A11" s="11"/>
      <c r="B11" s="11"/>
      <c r="C11" s="11"/>
      <c r="D11" s="11"/>
      <c r="E11" s="11"/>
      <c r="F11" s="11"/>
    </row>
    <row r="12" spans="1:6" ht="12" customHeight="1">
      <c r="A12" s="25" t="s">
        <v>56</v>
      </c>
      <c r="B12" s="25" t="s">
        <v>57</v>
      </c>
      <c r="C12" s="25" t="s">
        <v>58</v>
      </c>
      <c r="D12" s="25" t="s">
        <v>59</v>
      </c>
      <c r="E12" s="25" t="s">
        <v>60</v>
      </c>
      <c r="F12" s="25" t="s">
        <v>61</v>
      </c>
    </row>
    <row r="13" spans="1:6" ht="12" customHeight="1">
      <c r="A13" s="21" t="s">
        <v>62</v>
      </c>
      <c r="B13" s="24">
        <f>CALCULATIONS!B8</f>
        <v>23.5</v>
      </c>
      <c r="C13" s="24">
        <f>B13*CALCULATIONS!B12</f>
        <v>1974</v>
      </c>
      <c r="D13" s="24">
        <f>C13*INPUTS!B6/12</f>
        <v>8554</v>
      </c>
      <c r="E13" s="24">
        <f>C13*INPUTS!B6</f>
        <v>102648</v>
      </c>
      <c r="F13" s="14" t="s">
        <v>63</v>
      </c>
    </row>
    <row r="14" spans="1:6" ht="12" customHeight="1">
      <c r="A14" s="21" t="s">
        <v>64</v>
      </c>
      <c r="B14" s="24">
        <f>CALCULATIONS!B9</f>
        <v>2.35</v>
      </c>
      <c r="C14" s="24">
        <f>B14*CALCULATIONS!B12</f>
        <v>197.4</v>
      </c>
      <c r="D14" s="24">
        <f>C14*INPUTS!B6/12</f>
        <v>855.40000000000009</v>
      </c>
      <c r="E14" s="24">
        <f>C14*INPUTS!B6</f>
        <v>10264.800000000001</v>
      </c>
      <c r="F14" s="14" t="s">
        <v>65</v>
      </c>
    </row>
    <row r="15" spans="1:6" ht="12" customHeight="1">
      <c r="A15" s="21" t="s">
        <v>66</v>
      </c>
      <c r="B15" s="24">
        <f>CALCULATIONS!B11</f>
        <v>25.85</v>
      </c>
      <c r="C15" s="24">
        <f>B15*CALCULATIONS!B12</f>
        <v>2171.4</v>
      </c>
      <c r="D15" s="24">
        <f>C15*INPUTS!B6/12</f>
        <v>9409.4</v>
      </c>
      <c r="E15" s="24">
        <f>C15*INPUTS!B6</f>
        <v>112912.8</v>
      </c>
      <c r="F15" s="14" t="s">
        <v>67</v>
      </c>
    </row>
    <row r="16" spans="1:6" ht="12" customHeight="1">
      <c r="A16" s="21" t="s">
        <v>68</v>
      </c>
      <c r="B16" s="24">
        <f>CALCULATIONS!B3</f>
        <v>19.583333333333336</v>
      </c>
      <c r="C16" s="24">
        <f>B16*CALCULATIONS!B12</f>
        <v>1645.0000000000002</v>
      </c>
      <c r="D16" s="24">
        <f>C16*INPUTS!B6/12</f>
        <v>7128.3333333333348</v>
      </c>
      <c r="E16" s="24">
        <f>C16*INPUTS!B6</f>
        <v>85540.000000000015</v>
      </c>
      <c r="F16" s="14" t="s">
        <v>69</v>
      </c>
    </row>
    <row r="17" spans="1:6" ht="12" customHeight="1">
      <c r="A17" s="21" t="s">
        <v>70</v>
      </c>
      <c r="B17" s="24">
        <f>CALCULATIONS!B4</f>
        <v>1.9583333333333337</v>
      </c>
      <c r="C17" s="24">
        <f>B17*CALCULATIONS!B12</f>
        <v>164.50000000000003</v>
      </c>
      <c r="D17" s="24">
        <f>C17*INPUTS!B6/12</f>
        <v>712.83333333333348</v>
      </c>
      <c r="E17" s="24">
        <f>C17*INPUTS!B6</f>
        <v>8554.0000000000018</v>
      </c>
      <c r="F17" s="14" t="s">
        <v>71</v>
      </c>
    </row>
    <row r="18" spans="1:6" ht="12" customHeight="1">
      <c r="A18" s="21" t="s">
        <v>72</v>
      </c>
      <c r="B18" s="24">
        <f>CALCULATIONS!B5</f>
        <v>1.9583333333333337</v>
      </c>
      <c r="C18" s="24">
        <f>B18*CALCULATIONS!B12</f>
        <v>164.50000000000003</v>
      </c>
      <c r="D18" s="24">
        <f>C18*INPUTS!B6/12</f>
        <v>712.83333333333348</v>
      </c>
      <c r="E18" s="24">
        <f>C18*INPUTS!B6</f>
        <v>8554.0000000000018</v>
      </c>
      <c r="F18" s="14" t="s">
        <v>73</v>
      </c>
    </row>
    <row r="19" spans="1:6" ht="12" customHeight="1">
      <c r="A19" s="21" t="s">
        <v>74</v>
      </c>
      <c r="B19" s="24">
        <f>CALCULATIONS!B7</f>
        <v>0</v>
      </c>
      <c r="C19" s="24">
        <f>B19*CALCULATIONS!B12</f>
        <v>0</v>
      </c>
      <c r="D19" s="24">
        <f>C19*INPUTS!B6/12</f>
        <v>0</v>
      </c>
      <c r="E19" s="24">
        <f>C19*INPUTS!B6</f>
        <v>0</v>
      </c>
      <c r="F19" s="14"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workbookViewId="0">
      <selection activeCell="B14" sqref="B14"/>
    </sheetView>
  </sheetViews>
  <sheetFormatPr defaultRowHeight="13.8"/>
  <cols>
    <col min="1" max="6" width="20" customWidth="1"/>
  </cols>
  <sheetData>
    <row r="1" spans="1:6" ht="15.6" customHeight="1">
      <c r="A1" s="1" t="s">
        <v>76</v>
      </c>
      <c r="B1" s="1"/>
      <c r="C1" s="1"/>
      <c r="D1" s="1"/>
      <c r="E1" s="1"/>
      <c r="F1" s="1"/>
    </row>
    <row r="2" spans="1:6" ht="12" customHeight="1">
      <c r="A2" s="11"/>
      <c r="B2" s="11"/>
      <c r="C2" s="11"/>
      <c r="D2" s="11"/>
      <c r="E2" s="11"/>
      <c r="F2" s="11"/>
    </row>
    <row r="3" spans="1:6" ht="12" customHeight="1">
      <c r="A3" s="22" t="s">
        <v>77</v>
      </c>
      <c r="B3" s="22" t="s">
        <v>4</v>
      </c>
      <c r="C3" s="22" t="s">
        <v>7</v>
      </c>
      <c r="D3" s="22" t="s">
        <v>9</v>
      </c>
      <c r="E3" s="22" t="s">
        <v>78</v>
      </c>
      <c r="F3" s="22" t="s">
        <v>79</v>
      </c>
    </row>
    <row r="4" spans="1:6" ht="12" customHeight="1">
      <c r="A4" s="13" t="str">
        <f>INPUTS!B3</f>
        <v>Demo Property</v>
      </c>
      <c r="B4" s="13" t="str">
        <f>INPUTS!B4</f>
        <v>Park &amp; Walk Thru Check</v>
      </c>
      <c r="C4" s="13">
        <f>INPUTS!B27</f>
        <v>84</v>
      </c>
      <c r="D4" s="13">
        <f>INPUTS!B6</f>
        <v>52</v>
      </c>
      <c r="E4" s="26">
        <f>CALCULATIONS!B11</f>
        <v>25.85</v>
      </c>
      <c r="F4" s="26">
        <f>CALCULATIONS!B17</f>
        <v>112912.8</v>
      </c>
    </row>
    <row r="5" spans="1:6" ht="12" customHeight="1">
      <c r="A5" s="11"/>
      <c r="B5" s="11" t="str">
        <f>INPUTS!B4</f>
        <v>Park &amp; Walk Thru Check</v>
      </c>
      <c r="C5" s="11"/>
      <c r="D5" s="11"/>
      <c r="E5" s="11"/>
      <c r="F5" s="11"/>
    </row>
    <row r="6" spans="1:6" ht="12" customHeight="1">
      <c r="A6" s="27" t="s">
        <v>80</v>
      </c>
      <c r="B6" s="27"/>
      <c r="C6" s="27"/>
      <c r="D6" s="27"/>
      <c r="E6" s="27"/>
      <c r="F6" s="27"/>
    </row>
    <row r="7" spans="1:6" ht="12" customHeight="1">
      <c r="A7" s="11"/>
      <c r="B7" s="11"/>
      <c r="C7" s="11"/>
      <c r="D7" s="11"/>
      <c r="E7" s="11"/>
      <c r="F7" s="11"/>
    </row>
    <row r="8" spans="1:6" ht="12" customHeight="1">
      <c r="A8" s="21" t="s">
        <v>34</v>
      </c>
      <c r="B8" s="14">
        <f>INPUTS!B27</f>
        <v>84</v>
      </c>
      <c r="C8" s="11"/>
      <c r="D8" s="11"/>
      <c r="E8" s="11"/>
      <c r="F8" s="11"/>
    </row>
    <row r="9" spans="1:6" ht="12" customHeight="1">
      <c r="A9" s="21" t="s">
        <v>35</v>
      </c>
      <c r="B9" s="45">
        <f>INPUTS!B28</f>
        <v>364</v>
      </c>
      <c r="C9" s="11"/>
      <c r="D9" s="11"/>
      <c r="E9" s="11"/>
      <c r="F9" s="11"/>
    </row>
    <row r="10" spans="1:6" ht="12" customHeight="1">
      <c r="A10" s="21" t="s">
        <v>37</v>
      </c>
      <c r="B10" s="14">
        <f>INPUTS!B29</f>
        <v>4368</v>
      </c>
      <c r="C10" s="11"/>
      <c r="D10" s="11"/>
      <c r="E10" s="11"/>
      <c r="F10" s="11"/>
    </row>
    <row r="11" spans="1:6" ht="12" customHeight="1">
      <c r="A11" s="21" t="s">
        <v>38</v>
      </c>
      <c r="B11" s="24">
        <f>INPUTS!B30</f>
        <v>2171.4</v>
      </c>
      <c r="C11" s="11"/>
      <c r="D11" s="11"/>
      <c r="E11" s="11"/>
      <c r="F11" s="11"/>
    </row>
    <row r="12" spans="1:6" ht="12" customHeight="1">
      <c r="A12" s="21" t="s">
        <v>39</v>
      </c>
      <c r="B12" s="24">
        <f>INPUTS!B31</f>
        <v>9409.4</v>
      </c>
      <c r="C12" s="11"/>
      <c r="D12" s="11"/>
      <c r="E12" s="11"/>
      <c r="F12" s="11"/>
    </row>
    <row r="13" spans="1:6" ht="12" customHeight="1">
      <c r="A13" s="21" t="s">
        <v>40</v>
      </c>
      <c r="B13" s="24">
        <f>INPUTS!B32</f>
        <v>112912.8</v>
      </c>
      <c r="C13" s="11"/>
      <c r="D13" s="11"/>
      <c r="E13" s="11"/>
      <c r="F13" s="11"/>
    </row>
    <row r="14" spans="1:6" ht="12" customHeight="1">
      <c r="A14" s="21" t="s">
        <v>55</v>
      </c>
      <c r="B14" s="38">
        <f>CALCULATIONS!B19</f>
        <v>9.0909090909090953E-2</v>
      </c>
      <c r="C14" s="11"/>
      <c r="D14" s="11"/>
      <c r="E14" s="11"/>
      <c r="F14" s="11"/>
    </row>
    <row r="15" spans="1:6" ht="12" customHeight="1">
      <c r="A15" s="11"/>
      <c r="B15" s="11"/>
      <c r="C15" s="11"/>
      <c r="D15" s="11"/>
      <c r="E15" s="11"/>
      <c r="F15" s="11"/>
    </row>
    <row r="16" spans="1:6" ht="12" customHeight="1">
      <c r="A16" s="28" t="s">
        <v>81</v>
      </c>
      <c r="B16" s="28"/>
      <c r="C16" s="28"/>
      <c r="D16" s="28"/>
      <c r="E16" s="28"/>
      <c r="F16" s="28"/>
    </row>
    <row r="17" spans="1:6" ht="107.4" customHeight="1">
      <c r="A17" s="29" t="str">
        <f>CONCATENATE("This mobile patrol estimate is based on ",INPUTS!B27," weekly checks over ",INPUTS!B6," weeks per year. The selected service type is ",INPUTS!B4,". Total costs adjust automatically when weeks per year changes from 1 to 52.")</f>
        <v>This mobile patrol estimate is based on 84 weekly checks over 52 weeks per year. The selected service type is Park &amp; Walk Thru Check. Total costs adjust automatically when weeks per year changes from 1 to 52.</v>
      </c>
      <c r="B17" s="30"/>
      <c r="C17" s="30"/>
      <c r="D17" s="30"/>
      <c r="E17" s="30"/>
      <c r="F17" s="31"/>
    </row>
    <row r="18" spans="1:6" ht="32.25" customHeight="1">
      <c r="A18" s="32" t="s">
        <v>82</v>
      </c>
      <c r="B18" s="33"/>
      <c r="C18" s="33"/>
      <c r="D18" s="33"/>
      <c r="E18" s="33"/>
      <c r="F18"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3.8"/>
  <cols>
    <col min="1" max="1" width="18" customWidth="1"/>
    <col min="2" max="2" width="20" customWidth="1"/>
    <col min="3" max="3" width="72" customWidth="1"/>
  </cols>
  <sheetData>
    <row r="1" spans="1:3" ht="46.8" customHeight="1">
      <c r="A1" s="10" t="s">
        <v>83</v>
      </c>
      <c r="B1" s="10"/>
      <c r="C1" s="10"/>
    </row>
    <row r="2" spans="1:3" ht="12" customHeight="1">
      <c r="A2" s="11"/>
      <c r="B2" s="11"/>
      <c r="C2" s="11"/>
    </row>
    <row r="3" spans="1:3" ht="12" customHeight="1">
      <c r="A3" s="12" t="s">
        <v>7</v>
      </c>
      <c r="B3" s="12" t="s">
        <v>84</v>
      </c>
      <c r="C3" s="12" t="s">
        <v>85</v>
      </c>
    </row>
    <row r="4" spans="1:3" ht="12" customHeight="1">
      <c r="A4" s="13">
        <v>21</v>
      </c>
      <c r="B4" s="14" t="s">
        <v>86</v>
      </c>
      <c r="C4" s="14" t="s">
        <v>87</v>
      </c>
    </row>
    <row r="5" spans="1:3" ht="12" customHeight="1">
      <c r="A5" s="13">
        <v>28</v>
      </c>
      <c r="B5" s="14" t="s">
        <v>88</v>
      </c>
      <c r="C5" s="14" t="s">
        <v>89</v>
      </c>
    </row>
    <row r="6" spans="1:3" ht="12" customHeight="1">
      <c r="A6" s="13">
        <v>42</v>
      </c>
      <c r="B6" s="14" t="s">
        <v>90</v>
      </c>
      <c r="C6" s="14" t="s">
        <v>91</v>
      </c>
    </row>
    <row r="7" spans="1:3" ht="12" customHeight="1">
      <c r="A7" s="13">
        <v>56</v>
      </c>
      <c r="B7" s="14" t="s">
        <v>92</v>
      </c>
      <c r="C7" s="14" t="s">
        <v>93</v>
      </c>
    </row>
    <row r="8" spans="1:3" ht="12" customHeight="1">
      <c r="A8" s="13">
        <v>84</v>
      </c>
      <c r="B8" s="14" t="s">
        <v>94</v>
      </c>
      <c r="C8" s="14"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workbookViewId="0"/>
  </sheetViews>
  <sheetFormatPr defaultRowHeight="13.8"/>
  <cols>
    <col min="1" max="1" width="28" customWidth="1"/>
    <col min="3" max="4" width="18" customWidth="1"/>
  </cols>
  <sheetData>
    <row r="1" spans="1:4" ht="13.65" customHeight="1">
      <c r="A1" s="15" t="s">
        <v>96</v>
      </c>
      <c r="B1" s="15"/>
      <c r="C1" s="15"/>
      <c r="D1" s="15"/>
    </row>
    <row r="2" spans="1:4" ht="12" customHeight="1">
      <c r="A2" s="16"/>
      <c r="B2" s="16"/>
      <c r="C2" s="16" t="s">
        <v>7</v>
      </c>
      <c r="D2" s="16" t="s">
        <v>11</v>
      </c>
    </row>
    <row r="3" spans="1:4" ht="12" customHeight="1">
      <c r="A3" s="17" t="s">
        <v>5</v>
      </c>
      <c r="B3" s="17"/>
      <c r="C3" s="17">
        <v>21</v>
      </c>
      <c r="D3" s="17">
        <v>3</v>
      </c>
    </row>
    <row r="4" spans="1:4" ht="12" customHeight="1">
      <c r="A4" s="17" t="s">
        <v>97</v>
      </c>
      <c r="B4" s="17"/>
      <c r="C4" s="17">
        <v>28</v>
      </c>
      <c r="D4" s="17">
        <v>4</v>
      </c>
    </row>
    <row r="5" spans="1:4" ht="12" customHeight="1">
      <c r="A5" s="17" t="s">
        <v>98</v>
      </c>
      <c r="B5" s="17"/>
      <c r="C5" s="17">
        <v>42</v>
      </c>
      <c r="D5" s="17">
        <v>6</v>
      </c>
    </row>
    <row r="6" spans="1:4" ht="12" customHeight="1">
      <c r="A6" s="17"/>
      <c r="B6" s="17"/>
      <c r="C6" s="17">
        <v>56</v>
      </c>
      <c r="D6" s="17">
        <v>8</v>
      </c>
    </row>
    <row r="7" spans="1:4" ht="12" customHeight="1">
      <c r="A7" s="17"/>
      <c r="B7" s="17"/>
      <c r="C7" s="17">
        <v>84</v>
      </c>
      <c r="D7" s="17">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INPUTS</vt:lpstr>
      <vt:lpstr>CALCULATIONS</vt:lpstr>
      <vt:lpstr>RESULTS DASHBOARD</vt:lpstr>
      <vt:lpstr>PDF REPORT</vt:lpstr>
      <vt:lpstr>WEEKLY CHECKS GUIDE</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Patricia Livingston</cp:lastModifiedBy>
  <dcterms:created xsi:type="dcterms:W3CDTF">2026-04-27T17:03:43Z</dcterms:created>
  <dcterms:modified xsi:type="dcterms:W3CDTF">2026-04-27T17:03:43Z</dcterms:modified>
</cp:coreProperties>
</file>