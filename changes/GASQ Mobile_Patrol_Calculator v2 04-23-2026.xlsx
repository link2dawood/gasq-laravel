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rayling\Recovered data 09-28 19_12_15\Deep Scan result\Existing Partition(NTFS)\GASQ Launch Documents 2026\"/>
    </mc:Choice>
  </mc:AlternateContent>
  <xr:revisionPtr revIDLastSave="0" documentId="13_ncr:1_{96778956-0360-4628-BC7F-ED610BA0ED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lculator" sheetId="1" r:id="rId1"/>
    <sheet name="Report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B4" i="2"/>
  <c r="F13" i="1"/>
  <c r="F12" i="1"/>
  <c r="E8" i="2" s="1"/>
  <c r="F11" i="1"/>
  <c r="E7" i="2" s="1"/>
  <c r="F7" i="1"/>
  <c r="F8" i="1" s="1"/>
  <c r="F5" i="1"/>
  <c r="B5" i="2" s="1"/>
  <c r="F6" i="1" l="1"/>
  <c r="B6" i="2" s="1"/>
  <c r="E4" i="2"/>
  <c r="F14" i="1"/>
  <c r="F9" i="1"/>
  <c r="E5" i="2"/>
  <c r="E6" i="2" l="1"/>
  <c r="F10" i="1"/>
  <c r="E9" i="2"/>
  <c r="F15" i="1"/>
  <c r="E10" i="2" s="1"/>
  <c r="B7" i="2" l="1"/>
  <c r="F16" i="1"/>
  <c r="F17" i="1" l="1"/>
  <c r="B9" i="2" s="1"/>
  <c r="B8" i="2"/>
  <c r="F18" i="1" l="1"/>
  <c r="F19" i="1" l="1"/>
  <c r="B10" i="2"/>
  <c r="F20" i="1" l="1"/>
  <c r="B18" i="2" s="1"/>
  <c r="B11" i="2"/>
</calcChain>
</file>

<file path=xl/sharedStrings.xml><?xml version="1.0" encoding="utf-8"?>
<sst xmlns="http://schemas.openxmlformats.org/spreadsheetml/2006/main" count="128" uniqueCount="83">
  <si>
    <t>GASQ Mobile Patrol Calculator</t>
  </si>
  <si>
    <t>Input</t>
  </si>
  <si>
    <t>Value</t>
  </si>
  <si>
    <t>Units / Notes</t>
  </si>
  <si>
    <t>Calculated Output</t>
  </si>
  <si>
    <t>Formula Result</t>
  </si>
  <si>
    <t>Description</t>
  </si>
  <si>
    <t>Baseline Hourly Pay Rate</t>
  </si>
  <si>
    <t>$/hour</t>
  </si>
  <si>
    <t>Employer Cost Per Hour</t>
  </si>
  <si>
    <t>Baseline Hourly Pay Rate ÷ Divisor</t>
  </si>
  <si>
    <t>Divisor</t>
  </si>
  <si>
    <t>Default 0.70</t>
  </si>
  <si>
    <t>Annual Labor Cost</t>
  </si>
  <si>
    <t>Employer Cost Per Hour × Annual Hours</t>
  </si>
  <si>
    <t>Annual Hours</t>
  </si>
  <si>
    <t>Hours/year</t>
  </si>
  <si>
    <t>Miles Per Day</t>
  </si>
  <si>
    <t>Driving Speed × Hours Per Day</t>
  </si>
  <si>
    <t>Driving Speed</t>
  </si>
  <si>
    <t>MPH</t>
  </si>
  <si>
    <t>Miles Per Year</t>
  </si>
  <si>
    <t>Miles Per Day × 365</t>
  </si>
  <si>
    <t>Hours Per Day</t>
  </si>
  <si>
    <t>Hours/day</t>
  </si>
  <si>
    <t>Gallons Per Year</t>
  </si>
  <si>
    <t>Miles Per Year ÷ MPG</t>
  </si>
  <si>
    <t>Miles Per Gallon</t>
  </si>
  <si>
    <t>MPG</t>
  </si>
  <si>
    <t>Annual Fuel Cost</t>
  </si>
  <si>
    <t>Gallons Per Year × Fuel Cost Per Gallon</t>
  </si>
  <si>
    <t>Fuel Cost Per Gallon</t>
  </si>
  <si>
    <t>$/gallon</t>
  </si>
  <si>
    <t>Annual Maintenance / Repair</t>
  </si>
  <si>
    <t>User input</t>
  </si>
  <si>
    <t>Projected Annual Maintenance / Repair</t>
  </si>
  <si>
    <t>$/year</t>
  </si>
  <si>
    <t>Annual Tire Cost</t>
  </si>
  <si>
    <t>Tire Sets Per Year × Tire Cost Per Set</t>
  </si>
  <si>
    <t>Tire Sets Per Year</t>
  </si>
  <si>
    <t>Sets/year</t>
  </si>
  <si>
    <t>Auto Insurance</t>
  </si>
  <si>
    <t>Tire Cost Per Set</t>
  </si>
  <si>
    <t>$/set</t>
  </si>
  <si>
    <t>Oil Changes Per Year</t>
  </si>
  <si>
    <t>Miles Per Year ÷ Oil Change Interval</t>
  </si>
  <si>
    <t>Annual Oil Cost</t>
  </si>
  <si>
    <t>Oil Changes Per Year × Oil Change Cost</t>
  </si>
  <si>
    <t>Oil Change Interval</t>
  </si>
  <si>
    <t>Miles</t>
  </si>
  <si>
    <t>Total Annual Cost</t>
  </si>
  <si>
    <t>Labor + Fuel + Maintenance + Tires + Insurance + Oil</t>
  </si>
  <si>
    <t>Oil Change Cost</t>
  </si>
  <si>
    <t>$ each</t>
  </si>
  <si>
    <t>Return on Sales Amount</t>
  </si>
  <si>
    <t>Total Annual Cost × Return on Sales %</t>
  </si>
  <si>
    <t>Return on Sales %</t>
  </si>
  <si>
    <t>Enter as percentage</t>
  </si>
  <si>
    <t>Total Annual Cost + Return on Sales</t>
  </si>
  <si>
    <t>Total Annual Cost + Return on Sales Amount</t>
  </si>
  <si>
    <t>Cost Per Hour</t>
  </si>
  <si>
    <t>Total Annual Cost + Return on Sales ÷ Annual Hours</t>
  </si>
  <si>
    <t>Hourly Bill Rate</t>
  </si>
  <si>
    <t>Quick Read</t>
  </si>
  <si>
    <t>Change only the blue input cells in column B.</t>
  </si>
  <si>
    <t>Return on Sales % should be entered as a percent, such as 10%.</t>
  </si>
  <si>
    <t>Hourly Bill Rate is the final estimated selling rate per hour.</t>
  </si>
  <si>
    <t>Source file used: Mobile Patrolman Formula document uploaded in chat.</t>
  </si>
  <si>
    <t>Mobile Patrol Summary Report</t>
  </si>
  <si>
    <t>Metric</t>
  </si>
  <si>
    <t>Vehicle Cost Summary</t>
  </si>
  <si>
    <t>Print / Client Notes</t>
  </si>
  <si>
    <t>This report estimates mobile patrol operating cost and required bill rate based on labor, mileage, fuel, maintenance, tires, insurance, and oil service assumptions.</t>
  </si>
  <si>
    <t>Review all user inputs before relying on the result.</t>
  </si>
  <si>
    <t>Primary final outputs:</t>
  </si>
  <si>
    <t>Formula / Logic Notes</t>
  </si>
  <si>
    <t>ROUNDUP(Miles Per Year ÷ Oil Change Interval, 0)</t>
  </si>
  <si>
    <t>Total Annual Cost ÷ Annual Hours</t>
  </si>
  <si>
    <t>Cost Per Hour ÷ (1 − Return on Sales %)</t>
  </si>
  <si>
    <t>Input reminder</t>
  </si>
  <si>
    <t>Return on Sales must be entered as a percentage like 10%.</t>
  </si>
  <si>
    <t>Source</t>
  </si>
  <si>
    <t>Based on the uploaded Mobile Patrolman Formula document.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</si>
</sst>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\$#,##0.00"/>
    <numFmt numFmtId="167" formatCode="&quot;$&quot;#,##0.00"/>
    <numFmt numFmtId="169" formatCode="_(* #,##0_);_(* \(#,##0\);_(* &quot;-&quot;??_);_(@_)"/>
  </numFmts>
  <fonts count="5">
    <font>
      <sz val="11"/>
      <name val="Carlito"/>
    </font>
    <font>
      <sz val="11"/>
      <color rgb="FF111827"/>
      <name val="Aptos"/>
      <family val="2"/>
    </font>
    <font>
      <b/>
      <sz val="14"/>
      <color rgb="FFFFFFFF"/>
      <name val="Aptos"/>
      <family val="2"/>
    </font>
    <font>
      <b/>
      <sz val="11"/>
      <color rgb="FF111827"/>
      <name val="Aptos"/>
      <family val="2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6B1126"/>
      </patternFill>
    </fill>
    <fill>
      <patternFill patternType="solid">
        <fgColor rgb="FFDBE4F0"/>
      </patternFill>
    </fill>
    <fill>
      <patternFill patternType="solid">
        <fgColor rgb="FFF8E6EB"/>
      </patternFill>
    </fill>
    <fill>
      <patternFill patternType="solid">
        <fgColor rgb="FFE8F5E9"/>
      </patternFill>
    </fill>
    <fill>
      <patternFill patternType="solid">
        <fgColor rgb="FFF8FAFC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2" xfId="0" applyFont="1" applyBorder="1"/>
    <xf numFmtId="0" fontId="1" fillId="4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164" fontId="1" fillId="0" borderId="5" xfId="0" applyNumberFormat="1" applyFont="1" applyBorder="1"/>
    <xf numFmtId="164" fontId="1" fillId="0" borderId="8" xfId="0" applyNumberFormat="1" applyFont="1" applyBorder="1"/>
    <xf numFmtId="1" fontId="1" fillId="0" borderId="8" xfId="0" applyNumberFormat="1" applyFont="1" applyBorder="1"/>
    <xf numFmtId="164" fontId="3" fillId="5" borderId="0" xfId="0" applyNumberFormat="1" applyFont="1" applyFill="1"/>
    <xf numFmtId="0" fontId="3" fillId="6" borderId="0" xfId="0" applyFont="1" applyFill="1"/>
    <xf numFmtId="0" fontId="3" fillId="6" borderId="7" xfId="0" applyFont="1" applyFill="1" applyBorder="1"/>
    <xf numFmtId="164" fontId="3" fillId="6" borderId="8" xfId="0" applyNumberFormat="1" applyFont="1" applyFill="1" applyBorder="1"/>
    <xf numFmtId="0" fontId="3" fillId="6" borderId="9" xfId="0" applyFont="1" applyFill="1" applyBorder="1"/>
    <xf numFmtId="0" fontId="3" fillId="6" borderId="10" xfId="0" applyFont="1" applyFill="1" applyBorder="1"/>
    <xf numFmtId="0" fontId="3" fillId="6" borderId="12" xfId="0" applyFont="1" applyFill="1" applyBorder="1"/>
    <xf numFmtId="0" fontId="3" fillId="3" borderId="4" xfId="0" applyFont="1" applyFill="1" applyBorder="1"/>
    <xf numFmtId="0" fontId="3" fillId="3" borderId="6" xfId="0" applyFont="1" applyFill="1" applyBorder="1"/>
    <xf numFmtId="164" fontId="1" fillId="0" borderId="9" xfId="0" applyNumberFormat="1" applyFont="1" applyBorder="1"/>
    <xf numFmtId="1" fontId="1" fillId="0" borderId="9" xfId="0" applyNumberFormat="1" applyFont="1" applyBorder="1"/>
    <xf numFmtId="164" fontId="1" fillId="0" borderId="12" xfId="0" applyNumberFormat="1" applyFont="1" applyBorder="1"/>
    <xf numFmtId="164" fontId="3" fillId="5" borderId="0" xfId="0" applyNumberFormat="1" applyFont="1" applyFill="1" applyAlignment="1">
      <alignment wrapText="1"/>
    </xf>
    <xf numFmtId="0" fontId="3" fillId="0" borderId="7" xfId="0" applyFont="1" applyBorder="1"/>
    <xf numFmtId="0" fontId="3" fillId="0" borderId="10" xfId="0" applyFont="1" applyBorder="1"/>
    <xf numFmtId="0" fontId="1" fillId="0" borderId="9" xfId="0" applyFont="1" applyBorder="1" applyAlignment="1">
      <alignment wrapText="1"/>
    </xf>
    <xf numFmtId="0" fontId="1" fillId="0" borderId="12" xfId="0" applyFont="1" applyBorder="1" applyAlignment="1">
      <alignment wrapText="1"/>
    </xf>
    <xf numFmtId="164" fontId="3" fillId="5" borderId="11" xfId="0" applyNumberFormat="1" applyFont="1" applyFill="1" applyBorder="1"/>
    <xf numFmtId="169" fontId="1" fillId="0" borderId="8" xfId="1" applyNumberFormat="1" applyFont="1" applyBorder="1"/>
    <xf numFmtId="167" fontId="1" fillId="0" borderId="0" xfId="0" applyNumberFormat="1" applyFont="1"/>
    <xf numFmtId="167" fontId="1" fillId="0" borderId="12" xfId="0" applyNumberFormat="1" applyFont="1" applyBorder="1"/>
    <xf numFmtId="169" fontId="1" fillId="0" borderId="9" xfId="1" applyNumberFormat="1" applyFont="1" applyBorder="1"/>
    <xf numFmtId="167" fontId="1" fillId="4" borderId="0" xfId="0" applyNumberFormat="1" applyFont="1" applyFill="1" applyAlignment="1">
      <alignment wrapText="1"/>
    </xf>
    <xf numFmtId="9" fontId="1" fillId="0" borderId="0" xfId="2" applyFont="1"/>
    <xf numFmtId="164" fontId="1" fillId="7" borderId="5" xfId="0" applyNumberFormat="1" applyFont="1" applyFill="1" applyBorder="1"/>
    <xf numFmtId="2" fontId="1" fillId="7" borderId="8" xfId="0" applyNumberFormat="1" applyFont="1" applyFill="1" applyBorder="1"/>
    <xf numFmtId="1" fontId="1" fillId="7" borderId="8" xfId="0" applyNumberFormat="1" applyFont="1" applyFill="1" applyBorder="1"/>
    <xf numFmtId="164" fontId="1" fillId="7" borderId="8" xfId="0" applyNumberFormat="1" applyFont="1" applyFill="1" applyBorder="1"/>
    <xf numFmtId="167" fontId="1" fillId="7" borderId="8" xfId="0" applyNumberFormat="1" applyFont="1" applyFill="1" applyBorder="1"/>
    <xf numFmtId="10" fontId="1" fillId="7" borderId="11" xfId="0" applyNumberFormat="1" applyFont="1" applyFill="1" applyBorder="1"/>
    <xf numFmtId="2" fontId="1" fillId="8" borderId="8" xfId="0" applyNumberFormat="1" applyFont="1" applyFill="1" applyBorder="1"/>
    <xf numFmtId="0" fontId="1" fillId="8" borderId="9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"/>
  <sheetViews>
    <sheetView tabSelected="1" workbookViewId="0">
      <selection activeCell="C9" sqref="C9"/>
    </sheetView>
  </sheetViews>
  <sheetFormatPr defaultRowHeight="13.8"/>
  <cols>
    <col min="1" max="1" width="32" customWidth="1"/>
    <col min="2" max="2" width="16" customWidth="1"/>
    <col min="3" max="3" width="20" customWidth="1"/>
    <col min="5" max="5" width="30.09765625" bestFit="1" customWidth="1"/>
    <col min="6" max="6" width="16" customWidth="1"/>
    <col min="7" max="7" width="34" hidden="1" customWidth="1"/>
  </cols>
  <sheetData>
    <row r="1" spans="1:26" ht="13.65" customHeight="1">
      <c r="A1" s="2" t="s">
        <v>0</v>
      </c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65" customHeight="1">
      <c r="A2" s="2"/>
      <c r="B2" s="2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>
      <c r="A4" s="3" t="s">
        <v>1</v>
      </c>
      <c r="B4" s="4" t="s">
        <v>2</v>
      </c>
      <c r="C4" s="5" t="s">
        <v>3</v>
      </c>
      <c r="D4" s="1"/>
      <c r="E4" s="3" t="s">
        <v>4</v>
      </c>
      <c r="F4" s="4" t="s">
        <v>5</v>
      </c>
      <c r="G4" s="5" t="s">
        <v>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>
      <c r="A5" s="6" t="s">
        <v>7</v>
      </c>
      <c r="B5" s="41">
        <v>25</v>
      </c>
      <c r="C5" s="7" t="s">
        <v>8</v>
      </c>
      <c r="D5" s="1"/>
      <c r="E5" s="6" t="s">
        <v>9</v>
      </c>
      <c r="F5" s="14">
        <f>B5/B6</f>
        <v>35.714285714285715</v>
      </c>
      <c r="G5" s="7" t="s">
        <v>10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>
      <c r="A6" s="8" t="s">
        <v>11</v>
      </c>
      <c r="B6" s="47">
        <v>0.7</v>
      </c>
      <c r="C6" s="48" t="s">
        <v>12</v>
      </c>
      <c r="D6" s="1"/>
      <c r="E6" s="8" t="s">
        <v>13</v>
      </c>
      <c r="F6" s="15">
        <f>F5*B7</f>
        <v>312000</v>
      </c>
      <c r="G6" s="9" t="s">
        <v>14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>
      <c r="A7" s="8" t="s">
        <v>15</v>
      </c>
      <c r="B7" s="43">
        <v>8736</v>
      </c>
      <c r="C7" s="9" t="s">
        <v>16</v>
      </c>
      <c r="D7" s="1"/>
      <c r="E7" s="8" t="s">
        <v>17</v>
      </c>
      <c r="F7" s="16">
        <f>B8*B9</f>
        <v>600</v>
      </c>
      <c r="G7" s="9" t="s">
        <v>18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>
      <c r="A8" s="8" t="s">
        <v>19</v>
      </c>
      <c r="B8" s="43">
        <v>25</v>
      </c>
      <c r="C8" s="9" t="s">
        <v>20</v>
      </c>
      <c r="D8" s="1"/>
      <c r="E8" s="8" t="s">
        <v>21</v>
      </c>
      <c r="F8" s="35">
        <f>F7*365</f>
        <v>219000</v>
      </c>
      <c r="G8" s="9" t="s">
        <v>22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>
      <c r="A9" s="8" t="s">
        <v>23</v>
      </c>
      <c r="B9" s="43">
        <v>24</v>
      </c>
      <c r="C9" s="9" t="s">
        <v>24</v>
      </c>
      <c r="D9" s="1"/>
      <c r="E9" s="8" t="s">
        <v>25</v>
      </c>
      <c r="F9" s="35">
        <f>F8/B10</f>
        <v>8760</v>
      </c>
      <c r="G9" s="9" t="s">
        <v>26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>
      <c r="A10" s="8" t="s">
        <v>27</v>
      </c>
      <c r="B10" s="43">
        <v>25</v>
      </c>
      <c r="C10" s="9" t="s">
        <v>28</v>
      </c>
      <c r="D10" s="1"/>
      <c r="E10" s="8" t="s">
        <v>29</v>
      </c>
      <c r="F10" s="15">
        <f>F9*B11</f>
        <v>36003.600000000006</v>
      </c>
      <c r="G10" s="9" t="s">
        <v>30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>
      <c r="A11" s="8" t="s">
        <v>31</v>
      </c>
      <c r="B11" s="44">
        <v>4.1100000000000003</v>
      </c>
      <c r="C11" s="9" t="s">
        <v>32</v>
      </c>
      <c r="D11" s="1"/>
      <c r="E11" s="8" t="s">
        <v>33</v>
      </c>
      <c r="F11" s="15">
        <f>B12</f>
        <v>5000</v>
      </c>
      <c r="G11" s="9" t="s">
        <v>34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>
      <c r="A12" s="8" t="s">
        <v>35</v>
      </c>
      <c r="B12" s="45">
        <v>5000</v>
      </c>
      <c r="C12" s="9" t="s">
        <v>36</v>
      </c>
      <c r="D12" s="1"/>
      <c r="E12" s="8" t="s">
        <v>37</v>
      </c>
      <c r="F12" s="15">
        <f>B13*B14</f>
        <v>1200</v>
      </c>
      <c r="G12" s="9" t="s">
        <v>38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>
      <c r="A13" s="8" t="s">
        <v>39</v>
      </c>
      <c r="B13" s="42">
        <v>4</v>
      </c>
      <c r="C13" s="9" t="s">
        <v>40</v>
      </c>
      <c r="D13" s="1"/>
      <c r="E13" s="8" t="s">
        <v>41</v>
      </c>
      <c r="F13" s="15">
        <f>B15</f>
        <v>1200</v>
      </c>
      <c r="G13" s="9" t="s">
        <v>34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>
      <c r="A14" s="8" t="s">
        <v>42</v>
      </c>
      <c r="B14" s="44">
        <v>300</v>
      </c>
      <c r="C14" s="9" t="s">
        <v>43</v>
      </c>
      <c r="D14" s="1"/>
      <c r="E14" s="8" t="s">
        <v>44</v>
      </c>
      <c r="F14" s="16">
        <f>ROUNDUP(F8/B16,0)</f>
        <v>30</v>
      </c>
      <c r="G14" s="9" t="s">
        <v>45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>
      <c r="A15" s="8" t="s">
        <v>41</v>
      </c>
      <c r="B15" s="44">
        <v>1200</v>
      </c>
      <c r="C15" s="9" t="s">
        <v>36</v>
      </c>
      <c r="D15" s="1"/>
      <c r="E15" s="8" t="s">
        <v>46</v>
      </c>
      <c r="F15" s="15">
        <f>F14*B17</f>
        <v>3000</v>
      </c>
      <c r="G15" s="9" t="s">
        <v>47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>
      <c r="A16" s="8" t="s">
        <v>48</v>
      </c>
      <c r="B16" s="43">
        <v>7500</v>
      </c>
      <c r="C16" s="9" t="s">
        <v>49</v>
      </c>
      <c r="D16" s="1"/>
      <c r="E16" s="19" t="s">
        <v>50</v>
      </c>
      <c r="F16" s="20">
        <f>F6+F10+F11+F12+F13+F15</f>
        <v>358403.6</v>
      </c>
      <c r="G16" s="21" t="s">
        <v>51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>
      <c r="A17" s="8" t="s">
        <v>52</v>
      </c>
      <c r="B17" s="44">
        <v>100</v>
      </c>
      <c r="C17" s="9" t="s">
        <v>53</v>
      </c>
      <c r="D17" s="1"/>
      <c r="E17" s="19" t="s">
        <v>54</v>
      </c>
      <c r="F17" s="20">
        <f>F16*B18</f>
        <v>89600.9</v>
      </c>
      <c r="G17" s="21" t="s">
        <v>55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>
      <c r="A18" s="10" t="s">
        <v>56</v>
      </c>
      <c r="B18" s="46">
        <v>0.25</v>
      </c>
      <c r="C18" s="11" t="s">
        <v>57</v>
      </c>
      <c r="D18" s="1"/>
      <c r="E18" s="22" t="s">
        <v>58</v>
      </c>
      <c r="F18" s="34">
        <f>F16+F17</f>
        <v>448004.5</v>
      </c>
      <c r="G18" s="23" t="s">
        <v>59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>
      <c r="A19" s="1"/>
      <c r="B19" s="1"/>
      <c r="C19" s="1"/>
      <c r="D19" s="1"/>
      <c r="E19" s="18" t="s">
        <v>60</v>
      </c>
      <c r="F19" s="17">
        <f>IF(B7=0,0,F18/B7)</f>
        <v>51.282566391941394</v>
      </c>
      <c r="G19" s="18" t="s">
        <v>61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hidden="1" customHeight="1">
      <c r="A20" s="1"/>
      <c r="B20" s="1"/>
      <c r="C20" s="1"/>
      <c r="D20" s="1"/>
      <c r="E20" s="1" t="s">
        <v>62</v>
      </c>
      <c r="F20" s="1">
        <f>F19</f>
        <v>51.282566391941394</v>
      </c>
      <c r="G20" s="1" t="s">
        <v>60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13" t="s">
        <v>63</v>
      </c>
      <c r="B21" s="13"/>
      <c r="C21" s="13"/>
      <c r="D21" s="13"/>
      <c r="E21" s="13"/>
      <c r="F21" s="13"/>
      <c r="G21" s="1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8.8">
      <c r="A22" s="12" t="s">
        <v>64</v>
      </c>
      <c r="B22" s="12"/>
      <c r="C22" s="12"/>
      <c r="D22" s="12"/>
      <c r="E22" s="12"/>
      <c r="F22" s="12"/>
      <c r="G22" s="1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8.8">
      <c r="A23" s="12" t="s">
        <v>65</v>
      </c>
      <c r="B23" s="12"/>
      <c r="C23" s="12"/>
      <c r="D23" s="12"/>
      <c r="E23" s="12"/>
      <c r="F23" s="12"/>
      <c r="G23" s="1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8.8">
      <c r="A24" s="12" t="s">
        <v>66</v>
      </c>
      <c r="B24" s="12"/>
      <c r="C24" s="12"/>
      <c r="D24" s="12"/>
      <c r="E24" s="12"/>
      <c r="F24" s="12"/>
      <c r="G24" s="1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8.8">
      <c r="A25" s="12" t="s">
        <v>67</v>
      </c>
      <c r="B25" s="12"/>
      <c r="C25" s="12"/>
      <c r="D25" s="12"/>
      <c r="E25" s="12"/>
      <c r="F25" s="12"/>
      <c r="G25" s="1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0"/>
  <sheetViews>
    <sheetView workbookViewId="0">
      <selection activeCell="D27" sqref="D27"/>
    </sheetView>
  </sheetViews>
  <sheetFormatPr defaultRowHeight="13.8"/>
  <cols>
    <col min="1" max="1" width="28" customWidth="1"/>
    <col min="2" max="2" width="16" customWidth="1"/>
    <col min="4" max="4" width="24" customWidth="1"/>
    <col min="5" max="5" width="16" customWidth="1"/>
  </cols>
  <sheetData>
    <row r="1" spans="1:26" ht="13.65" customHeight="1">
      <c r="A1" s="2" t="s">
        <v>68</v>
      </c>
      <c r="B1" s="2"/>
      <c r="C1" s="2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>
      <c r="A3" s="24" t="s">
        <v>69</v>
      </c>
      <c r="B3" s="25" t="s">
        <v>2</v>
      </c>
      <c r="C3" s="1"/>
      <c r="D3" s="24" t="s">
        <v>70</v>
      </c>
      <c r="E3" s="25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>
      <c r="A4" s="8" t="s">
        <v>7</v>
      </c>
      <c r="B4" s="26">
        <f>Calculator!B5</f>
        <v>25</v>
      </c>
      <c r="C4" s="1"/>
      <c r="D4" s="8" t="s">
        <v>17</v>
      </c>
      <c r="E4" s="27">
        <f>Calculator!F7</f>
        <v>600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>
      <c r="A5" s="8" t="s">
        <v>9</v>
      </c>
      <c r="B5" s="26">
        <f>Calculator!F5</f>
        <v>35.714285714285715</v>
      </c>
      <c r="C5" s="1"/>
      <c r="D5" s="8" t="s">
        <v>21</v>
      </c>
      <c r="E5" s="38">
        <f>Calculator!F8</f>
        <v>219000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>
      <c r="A6" s="8" t="s">
        <v>13</v>
      </c>
      <c r="B6" s="26">
        <f>Calculator!F6</f>
        <v>312000</v>
      </c>
      <c r="C6" s="1"/>
      <c r="D6" s="8" t="s">
        <v>25</v>
      </c>
      <c r="E6" s="38">
        <f>Calculator!F9</f>
        <v>8760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>
      <c r="A7" s="8" t="s">
        <v>29</v>
      </c>
      <c r="B7" s="26">
        <f>Calculator!F10</f>
        <v>36003.600000000006</v>
      </c>
      <c r="C7" s="1"/>
      <c r="D7" s="8" t="s">
        <v>33</v>
      </c>
      <c r="E7" s="26">
        <f>Calculator!F11</f>
        <v>5000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>
      <c r="A8" s="8" t="s">
        <v>50</v>
      </c>
      <c r="B8" s="26">
        <f>Calculator!F16</f>
        <v>358403.6</v>
      </c>
      <c r="C8" s="1"/>
      <c r="D8" s="8" t="s">
        <v>37</v>
      </c>
      <c r="E8" s="26">
        <f>Calculator!F12</f>
        <v>1200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>
      <c r="A9" s="8" t="s">
        <v>54</v>
      </c>
      <c r="B9" s="26">
        <f>Calculator!F17</f>
        <v>89600.9</v>
      </c>
      <c r="C9" s="1"/>
      <c r="D9" s="8" t="s">
        <v>44</v>
      </c>
      <c r="E9" s="27">
        <f>Calculator!F14</f>
        <v>30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>
      <c r="A10" s="10" t="s">
        <v>58</v>
      </c>
      <c r="B10" s="37">
        <f>Calculator!F18</f>
        <v>448004.5</v>
      </c>
      <c r="C10" s="1"/>
      <c r="D10" s="10" t="s">
        <v>46</v>
      </c>
      <c r="E10" s="28">
        <f>Calculator!F15</f>
        <v>3000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>
      <c r="A11" s="1" t="s">
        <v>60</v>
      </c>
      <c r="B11" s="36">
        <f>Calculator!F19</f>
        <v>51.282566391941394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>
      <c r="A12" s="1" t="s">
        <v>56</v>
      </c>
      <c r="B12" s="40">
        <f>Calculator!B18</f>
        <v>0.25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12" t="s">
        <v>71</v>
      </c>
      <c r="B13" s="12"/>
      <c r="C13" s="12"/>
      <c r="D13" s="12"/>
      <c r="E13" s="12"/>
      <c r="F13" s="1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86.4">
      <c r="A14" s="12" t="s">
        <v>72</v>
      </c>
      <c r="B14" s="12"/>
      <c r="C14" s="12"/>
      <c r="D14" s="12"/>
      <c r="E14" s="12"/>
      <c r="F14" s="1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8">
      <c r="A15" s="12" t="s">
        <v>73</v>
      </c>
      <c r="B15" s="12"/>
      <c r="C15" s="12"/>
      <c r="D15" s="12"/>
      <c r="E15" s="12"/>
      <c r="F15" s="1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12"/>
      <c r="B16" s="12"/>
      <c r="C16" s="12"/>
      <c r="D16" s="12"/>
      <c r="E16" s="12"/>
      <c r="F16" s="1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3" t="s">
        <v>74</v>
      </c>
      <c r="B17" s="29"/>
      <c r="C17" s="12"/>
      <c r="D17" s="12"/>
      <c r="E17" s="12"/>
      <c r="F17" s="1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2" t="s">
        <v>62</v>
      </c>
      <c r="B18" s="39">
        <f>Calculator!F20</f>
        <v>51.282566391941394</v>
      </c>
      <c r="C18" s="12"/>
      <c r="D18" s="12"/>
      <c r="E18" s="12"/>
      <c r="F18" s="1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2"/>
      <c r="B19" s="12"/>
      <c r="C19" s="12"/>
      <c r="D19" s="12"/>
      <c r="E19" s="12"/>
      <c r="F19" s="1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2"/>
      <c r="B20" s="12"/>
      <c r="C20" s="12"/>
      <c r="D20" s="12"/>
      <c r="E20" s="12"/>
      <c r="F20" s="1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12"/>
      <c r="B21" s="12"/>
      <c r="C21" s="12"/>
      <c r="D21" s="12"/>
      <c r="E21" s="12"/>
      <c r="F21" s="1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12"/>
      <c r="B22" s="12"/>
      <c r="C22" s="12"/>
      <c r="D22" s="12"/>
      <c r="E22" s="12"/>
      <c r="F22" s="1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0"/>
  <sheetViews>
    <sheetView workbookViewId="0"/>
  </sheetViews>
  <sheetFormatPr defaultRowHeight="13.8"/>
  <cols>
    <col min="1" max="1" width="28" customWidth="1"/>
    <col min="2" max="2" width="58" customWidth="1"/>
  </cols>
  <sheetData>
    <row r="1" spans="1:26" ht="12" customHeight="1">
      <c r="A1" s="24" t="s">
        <v>75</v>
      </c>
      <c r="B1" s="25" t="s">
        <v>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>
      <c r="A2" s="30" t="s">
        <v>9</v>
      </c>
      <c r="B2" s="32" t="s">
        <v>10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>
      <c r="A3" s="30" t="s">
        <v>13</v>
      </c>
      <c r="B3" s="32" t="s">
        <v>14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>
      <c r="A4" s="30" t="s">
        <v>17</v>
      </c>
      <c r="B4" s="32" t="s">
        <v>18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>
      <c r="A5" s="30" t="s">
        <v>21</v>
      </c>
      <c r="B5" s="32" t="s">
        <v>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>
      <c r="A6" s="30" t="s">
        <v>25</v>
      </c>
      <c r="B6" s="32" t="s">
        <v>26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>
      <c r="A7" s="30" t="s">
        <v>29</v>
      </c>
      <c r="B7" s="32" t="s">
        <v>30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>
      <c r="A8" s="30" t="s">
        <v>37</v>
      </c>
      <c r="B8" s="32" t="s">
        <v>38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>
      <c r="A9" s="30" t="s">
        <v>44</v>
      </c>
      <c r="B9" s="32" t="s">
        <v>76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>
      <c r="A10" s="30" t="s">
        <v>46</v>
      </c>
      <c r="B10" s="32" t="s">
        <v>47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>
      <c r="A11" s="30" t="s">
        <v>50</v>
      </c>
      <c r="B11" s="32" t="s">
        <v>51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>
      <c r="A12" s="30" t="s">
        <v>60</v>
      </c>
      <c r="B12" s="32" t="s">
        <v>77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>
      <c r="A13" s="30" t="s">
        <v>62</v>
      </c>
      <c r="B13" s="32" t="s">
        <v>78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>
      <c r="A14" s="30" t="s">
        <v>79</v>
      </c>
      <c r="B14" s="32" t="s">
        <v>80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>
      <c r="A15" s="31" t="s">
        <v>81</v>
      </c>
      <c r="B15" s="33" t="s">
        <v>82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Report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Patricia Livingston</cp:lastModifiedBy>
  <dcterms:created xsi:type="dcterms:W3CDTF">2026-04-23T16:44:55Z</dcterms:created>
  <dcterms:modified xsi:type="dcterms:W3CDTF">2026-04-24T01:12:31Z</dcterms:modified>
</cp:coreProperties>
</file>